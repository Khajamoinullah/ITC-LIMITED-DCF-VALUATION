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DELL\Desktop\"/>
    </mc:Choice>
  </mc:AlternateContent>
  <xr:revisionPtr revIDLastSave="0" documentId="13_ncr:1_{EE61BEE5-136F-45E5-8273-26BDE9E4A7DD}" xr6:coauthVersionLast="47" xr6:coauthVersionMax="47" xr10:uidLastSave="{00000000-0000-0000-0000-000000000000}"/>
  <bookViews>
    <workbookView xWindow="-110" yWindow="-110" windowWidth="19420" windowHeight="10300" tabRatio="842" xr2:uid="{00000000-000D-0000-FFFF-FFFF00000000}"/>
  </bookViews>
  <sheets>
    <sheet name="Teaser" sheetId="7" r:id="rId1"/>
    <sheet name="WACC" sheetId="10" r:id="rId2"/>
    <sheet name="ADJ DATA " sheetId="9" r:id="rId3"/>
    <sheet name="Data Sheet" sheetId="6" r:id="rId4"/>
    <sheet name="Profit-Loss" sheetId="1" r:id="rId5"/>
    <sheet name="Quarters" sheetId="3" r:id="rId6"/>
    <sheet name="Balance Sheet" sheetId="2" r:id="rId7"/>
    <sheet name="Cash Flow" sheetId="4" r:id="rId8"/>
  </sheets>
  <definedNames>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2" i="7" l="1"/>
  <c r="J47" i="7"/>
  <c r="J46" i="7"/>
  <c r="J45" i="7"/>
  <c r="D47" i="10"/>
  <c r="L63" i="10"/>
  <c r="M62" i="10"/>
  <c r="L62" i="10"/>
  <c r="E40" i="10"/>
  <c r="E39" i="10"/>
  <c r="E38" i="10"/>
  <c r="L43" i="10"/>
  <c r="L42" i="10"/>
  <c r="L41" i="10"/>
  <c r="L40" i="10"/>
  <c r="L39" i="10"/>
  <c r="L38" i="10"/>
  <c r="L37" i="10"/>
  <c r="E37" i="10"/>
  <c r="E36" i="10"/>
  <c r="M29" i="10"/>
  <c r="M26" i="10"/>
  <c r="M25" i="10"/>
  <c r="M23" i="10"/>
  <c r="M22" i="10"/>
  <c r="G27" i="10"/>
  <c r="E27" i="10"/>
  <c r="G24" i="10"/>
  <c r="D25" i="10"/>
  <c r="E23" i="10" s="1"/>
  <c r="E24" i="10" s="1"/>
  <c r="M14" i="10"/>
  <c r="M12" i="10"/>
  <c r="E12" i="10"/>
  <c r="E26" i="2"/>
  <c r="F26" i="2"/>
  <c r="G26" i="2"/>
  <c r="H26" i="2"/>
  <c r="I26" i="2"/>
  <c r="J26" i="2"/>
  <c r="K26" i="2"/>
  <c r="C130" i="9"/>
  <c r="C129" i="9"/>
  <c r="I10" i="9"/>
  <c r="I7"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6" i="9"/>
  <c r="D55" i="9"/>
  <c r="D5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6" i="9"/>
  <c r="C42" i="1"/>
  <c r="D42" i="1"/>
  <c r="E42" i="1"/>
  <c r="F42" i="1"/>
  <c r="G42" i="1"/>
  <c r="H42" i="1"/>
  <c r="I42" i="1"/>
  <c r="J42" i="1"/>
  <c r="K42" i="1"/>
  <c r="B42" i="1"/>
  <c r="C41" i="1"/>
  <c r="D41" i="1"/>
  <c r="E41" i="1"/>
  <c r="F41" i="1"/>
  <c r="G41" i="1"/>
  <c r="H41" i="1"/>
  <c r="I41" i="1"/>
  <c r="J41" i="1"/>
  <c r="K41" i="1"/>
  <c r="B41" i="1"/>
  <c r="C40" i="1"/>
  <c r="C43" i="1" s="1"/>
  <c r="D40" i="1"/>
  <c r="D43" i="1" s="1"/>
  <c r="E40" i="1"/>
  <c r="F40" i="1"/>
  <c r="G40" i="1"/>
  <c r="H40" i="1"/>
  <c r="I40" i="1"/>
  <c r="J40" i="1"/>
  <c r="K40" i="1"/>
  <c r="B40" i="1"/>
  <c r="B43" i="1" s="1"/>
  <c r="C36" i="1"/>
  <c r="J29" i="1"/>
  <c r="J30" i="1" s="1"/>
  <c r="K29" i="1"/>
  <c r="C29" i="1"/>
  <c r="C30" i="1" s="1"/>
  <c r="D29" i="1"/>
  <c r="D30" i="1" s="1"/>
  <c r="E29" i="1"/>
  <c r="E30" i="1" s="1"/>
  <c r="D11" i="7" s="1"/>
  <c r="F29" i="1"/>
  <c r="F30" i="1" s="1"/>
  <c r="E11" i="7" s="1"/>
  <c r="G29" i="1"/>
  <c r="G30" i="1" s="1"/>
  <c r="F11" i="7" s="1"/>
  <c r="H29" i="1"/>
  <c r="H30" i="1" s="1"/>
  <c r="G11" i="7" s="1"/>
  <c r="I29" i="1"/>
  <c r="I30" i="1" s="1"/>
  <c r="H11" i="7" s="1"/>
  <c r="B29" i="1"/>
  <c r="J34" i="6"/>
  <c r="K34" i="6"/>
  <c r="D34" i="6"/>
  <c r="E34" i="6"/>
  <c r="D10" i="7" s="1"/>
  <c r="F34" i="6"/>
  <c r="E10" i="7" s="1"/>
  <c r="G34" i="6"/>
  <c r="F10" i="7" s="1"/>
  <c r="H34" i="6"/>
  <c r="G10" i="7" s="1"/>
  <c r="I34" i="6"/>
  <c r="H10" i="7" s="1"/>
  <c r="C34" i="6"/>
  <c r="C6" i="3"/>
  <c r="D6" i="3"/>
  <c r="E6" i="3"/>
  <c r="F6" i="3"/>
  <c r="G6" i="3"/>
  <c r="H6" i="3"/>
  <c r="I6" i="3"/>
  <c r="J6" i="3"/>
  <c r="K6" i="3"/>
  <c r="B6" i="3"/>
  <c r="C5" i="1"/>
  <c r="C6" i="1" s="1"/>
  <c r="D5" i="1"/>
  <c r="D6" i="1" s="1"/>
  <c r="E5" i="1"/>
  <c r="E6" i="1" s="1"/>
  <c r="F5" i="1"/>
  <c r="G5" i="1"/>
  <c r="G6" i="1" s="1"/>
  <c r="H5" i="1"/>
  <c r="I5" i="1"/>
  <c r="I6" i="1" s="1"/>
  <c r="J5" i="1"/>
  <c r="J6" i="1" s="1"/>
  <c r="K5" i="1"/>
  <c r="K6" i="1" s="1"/>
  <c r="B5" i="1"/>
  <c r="C14" i="1"/>
  <c r="F13" i="1"/>
  <c r="G13" i="1"/>
  <c r="J13" i="1"/>
  <c r="B6" i="6"/>
  <c r="C17" i="2"/>
  <c r="D17" i="2"/>
  <c r="E17" i="2"/>
  <c r="F17" i="2"/>
  <c r="G17" i="2"/>
  <c r="H17" i="2"/>
  <c r="I17" i="2"/>
  <c r="J17" i="2"/>
  <c r="K17" i="2"/>
  <c r="C18" i="2"/>
  <c r="C21" i="2" s="1"/>
  <c r="D18" i="2"/>
  <c r="D21" i="2" s="1"/>
  <c r="E18" i="2"/>
  <c r="E21" i="2" s="1"/>
  <c r="F18" i="2"/>
  <c r="F21" i="2" s="1"/>
  <c r="G18" i="2"/>
  <c r="G21" i="2" s="1"/>
  <c r="H18" i="2"/>
  <c r="H21" i="2" s="1"/>
  <c r="I18" i="2"/>
  <c r="I21" i="2" s="1"/>
  <c r="J18" i="2"/>
  <c r="J21" i="2" s="1"/>
  <c r="K18" i="2"/>
  <c r="K21" i="2" s="1"/>
  <c r="B17" i="2"/>
  <c r="C4" i="2"/>
  <c r="D4" i="2"/>
  <c r="E4" i="2"/>
  <c r="E5" i="2"/>
  <c r="E23" i="2"/>
  <c r="D26" i="7" s="1"/>
  <c r="F4" i="2"/>
  <c r="G4" i="2"/>
  <c r="H4" i="2"/>
  <c r="I4" i="2"/>
  <c r="I5" i="2"/>
  <c r="I23" i="2"/>
  <c r="H26" i="7" s="1"/>
  <c r="J4" i="2"/>
  <c r="J5" i="2"/>
  <c r="J23" i="2" s="1"/>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C16" i="2" s="1"/>
  <c r="D13" i="2"/>
  <c r="D16" i="2" s="1"/>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F14" i="3" s="1"/>
  <c r="G4" i="3"/>
  <c r="H4" i="3"/>
  <c r="H14" i="3" s="1"/>
  <c r="I4" i="3"/>
  <c r="J4" i="3"/>
  <c r="J14" i="3" s="1"/>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C20" i="2" s="1"/>
  <c r="D4" i="1"/>
  <c r="E4" i="1"/>
  <c r="F4" i="1"/>
  <c r="G4" i="1"/>
  <c r="H4" i="1"/>
  <c r="G9" i="7" s="1"/>
  <c r="I4" i="1"/>
  <c r="H9" i="7" s="1"/>
  <c r="J4" i="1"/>
  <c r="J20" i="2" s="1"/>
  <c r="K4" i="1"/>
  <c r="K20" i="2" s="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34" i="1" s="1"/>
  <c r="D12" i="1"/>
  <c r="D34" i="1" s="1"/>
  <c r="E12" i="1"/>
  <c r="E34" i="1" s="1"/>
  <c r="D14" i="7" s="1"/>
  <c r="F12" i="1"/>
  <c r="F34" i="1" s="1"/>
  <c r="E14" i="7" s="1"/>
  <c r="G12" i="1"/>
  <c r="G34" i="1" s="1"/>
  <c r="F14" i="7" s="1"/>
  <c r="H12" i="1"/>
  <c r="I12" i="1"/>
  <c r="J12" i="1"/>
  <c r="J34" i="1" s="1"/>
  <c r="K12" i="1"/>
  <c r="C15" i="1"/>
  <c r="D15" i="1"/>
  <c r="E15" i="1"/>
  <c r="F15" i="1"/>
  <c r="G15" i="1"/>
  <c r="H15" i="1"/>
  <c r="I15" i="1"/>
  <c r="J15" i="1"/>
  <c r="K15" i="1"/>
  <c r="B15" i="1"/>
  <c r="B7" i="1"/>
  <c r="B4" i="1"/>
  <c r="H23" i="1" s="1"/>
  <c r="A1" i="1"/>
  <c r="A1" i="2" s="1"/>
  <c r="A1" i="4" s="1"/>
  <c r="E1" i="6"/>
  <c r="H1" i="1" s="1"/>
  <c r="E1" i="2"/>
  <c r="E1" i="3"/>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21" i="2" s="1"/>
  <c r="B13" i="2"/>
  <c r="B12" i="2"/>
  <c r="B11" i="2"/>
  <c r="B10" i="2"/>
  <c r="B8" i="2"/>
  <c r="B7" i="2"/>
  <c r="B6" i="2"/>
  <c r="B3" i="2"/>
  <c r="B12" i="3"/>
  <c r="B11" i="3"/>
  <c r="B10" i="3"/>
  <c r="B9" i="3"/>
  <c r="B8" i="3"/>
  <c r="B7" i="3"/>
  <c r="B4" i="3"/>
  <c r="B14" i="3" s="1"/>
  <c r="B3" i="3"/>
  <c r="L15" i="1"/>
  <c r="B12" i="1"/>
  <c r="B11" i="1"/>
  <c r="B10" i="1"/>
  <c r="B9" i="1"/>
  <c r="B8" i="1"/>
  <c r="B3" i="1"/>
  <c r="E14" i="3"/>
  <c r="I14" i="3"/>
  <c r="G14" i="3"/>
  <c r="L12" i="1"/>
  <c r="L11" i="1"/>
  <c r="L10" i="1"/>
  <c r="M11" i="1" s="1"/>
  <c r="L6" i="1"/>
  <c r="L4" i="1"/>
  <c r="L23" i="1" s="1"/>
  <c r="A1" i="3"/>
  <c r="L5" i="1"/>
  <c r="J51" i="7" l="1"/>
  <c r="J53" i="7" s="1"/>
  <c r="J48" i="7"/>
  <c r="M63" i="10"/>
  <c r="N62" i="10"/>
  <c r="B30" i="1"/>
  <c r="K30" i="1"/>
  <c r="H13" i="1"/>
  <c r="H34" i="1"/>
  <c r="G14" i="7" s="1"/>
  <c r="I13" i="1"/>
  <c r="I34" i="1"/>
  <c r="H14" i="7" s="1"/>
  <c r="K13" i="1"/>
  <c r="K36" i="1" s="1"/>
  <c r="K34" i="1"/>
  <c r="C45" i="1"/>
  <c r="C46" i="1"/>
  <c r="D45" i="1"/>
  <c r="D46" i="1"/>
  <c r="E48" i="1"/>
  <c r="D25" i="7" s="1"/>
  <c r="E43" i="1"/>
  <c r="F43" i="1"/>
  <c r="F48" i="1"/>
  <c r="E25" i="7" s="1"/>
  <c r="G48" i="1"/>
  <c r="F25" i="7" s="1"/>
  <c r="G43" i="1"/>
  <c r="H48" i="1"/>
  <c r="G25" i="7" s="1"/>
  <c r="H43" i="1"/>
  <c r="I48" i="1"/>
  <c r="H25" i="7" s="1"/>
  <c r="I43" i="1"/>
  <c r="J48" i="1"/>
  <c r="J43" i="1"/>
  <c r="K48" i="1"/>
  <c r="C131" i="9"/>
  <c r="K43" i="1"/>
  <c r="B46" i="1"/>
  <c r="E17" i="7"/>
  <c r="E15" i="7"/>
  <c r="F36" i="1"/>
  <c r="H35" i="1"/>
  <c r="G16" i="7" s="1"/>
  <c r="G35" i="1"/>
  <c r="F16" i="7" s="1"/>
  <c r="F15" i="7"/>
  <c r="G36" i="1"/>
  <c r="K35" i="1"/>
  <c r="J35" i="1"/>
  <c r="J36" i="1"/>
  <c r="D20" i="2"/>
  <c r="I23" i="1"/>
  <c r="E9" i="7"/>
  <c r="J23" i="1"/>
  <c r="B13" i="1"/>
  <c r="B34" i="1"/>
  <c r="K14" i="1"/>
  <c r="C19" i="1"/>
  <c r="C31" i="1"/>
  <c r="C32" i="1"/>
  <c r="C33" i="1" s="1"/>
  <c r="D19" i="1"/>
  <c r="D32" i="1"/>
  <c r="D33" i="1" s="1"/>
  <c r="D31" i="1"/>
  <c r="E19" i="1"/>
  <c r="E32" i="1"/>
  <c r="E33" i="1" s="1"/>
  <c r="D13" i="7" s="1"/>
  <c r="E31" i="1"/>
  <c r="D12" i="7" s="1"/>
  <c r="G19" i="1"/>
  <c r="G32" i="1"/>
  <c r="G33" i="1" s="1"/>
  <c r="F13" i="7" s="1"/>
  <c r="G31" i="1"/>
  <c r="F12" i="7" s="1"/>
  <c r="I19" i="1"/>
  <c r="I32" i="1"/>
  <c r="I33" i="1" s="1"/>
  <c r="H13" i="7" s="1"/>
  <c r="I31" i="1"/>
  <c r="H12" i="7" s="1"/>
  <c r="J19" i="1"/>
  <c r="J31" i="1"/>
  <c r="J32" i="1"/>
  <c r="J33" i="1" s="1"/>
  <c r="K19" i="1"/>
  <c r="K32" i="1"/>
  <c r="K33" i="1" s="1"/>
  <c r="K31" i="1"/>
  <c r="G14" i="1"/>
  <c r="G22" i="7" s="1"/>
  <c r="N11" i="1"/>
  <c r="F14" i="1"/>
  <c r="F22" i="7" s="1"/>
  <c r="J14" i="1"/>
  <c r="E16" i="2"/>
  <c r="F16" i="2"/>
  <c r="H16" i="2"/>
  <c r="J16" i="2"/>
  <c r="K16" i="2"/>
  <c r="D23" i="2"/>
  <c r="F23" i="2"/>
  <c r="E26" i="7" s="1"/>
  <c r="H23" i="2"/>
  <c r="G26" i="7" s="1"/>
  <c r="K23" i="2"/>
  <c r="C23" i="2"/>
  <c r="G23" i="2"/>
  <c r="F26" i="7" s="1"/>
  <c r="E20" i="2"/>
  <c r="D9" i="7"/>
  <c r="G20" i="2"/>
  <c r="F9" i="7"/>
  <c r="G24" i="2"/>
  <c r="F27" i="7" s="1"/>
  <c r="J24" i="2"/>
  <c r="G16" i="2"/>
  <c r="L7" i="1"/>
  <c r="L8" i="1"/>
  <c r="L9" i="1"/>
  <c r="F20" i="2"/>
  <c r="K24" i="1"/>
  <c r="M24" i="1" s="1"/>
  <c r="B16" i="2"/>
  <c r="L19" i="1"/>
  <c r="L24" i="1" s="1"/>
  <c r="H14" i="1"/>
  <c r="H22" i="7" s="1"/>
  <c r="I14" i="1"/>
  <c r="K25" i="1" s="1"/>
  <c r="M25" i="1" s="1"/>
  <c r="M14" i="1" s="1"/>
  <c r="B20" i="2"/>
  <c r="F24" i="2"/>
  <c r="E27" i="7" s="1"/>
  <c r="H24" i="2"/>
  <c r="G27" i="7" s="1"/>
  <c r="E24" i="2"/>
  <c r="D27" i="7" s="1"/>
  <c r="I24" i="2"/>
  <c r="H27" i="7" s="1"/>
  <c r="K24" i="2"/>
  <c r="I16" i="2"/>
  <c r="D24" i="2"/>
  <c r="D13" i="1"/>
  <c r="B6" i="1"/>
  <c r="B45" i="1" s="1"/>
  <c r="L13" i="1"/>
  <c r="L14" i="1" s="1"/>
  <c r="L25" i="1" s="1"/>
  <c r="C24" i="2"/>
  <c r="B23" i="2"/>
  <c r="J25" i="1"/>
  <c r="I20" i="2"/>
  <c r="H20" i="2"/>
  <c r="K23" i="1"/>
  <c r="H6" i="1"/>
  <c r="F6" i="1"/>
  <c r="E1" i="4"/>
  <c r="N63" i="10" l="1"/>
  <c r="O62" i="10"/>
  <c r="H36" i="1"/>
  <c r="G15" i="7"/>
  <c r="I35" i="1"/>
  <c r="H16" i="7" s="1"/>
  <c r="I36" i="1"/>
  <c r="I37" i="1" s="1"/>
  <c r="H18" i="7" s="1"/>
  <c r="H15" i="7"/>
  <c r="E45" i="1"/>
  <c r="D23" i="7" s="1"/>
  <c r="E46" i="1"/>
  <c r="D24" i="7" s="1"/>
  <c r="F45" i="1"/>
  <c r="E23" i="7" s="1"/>
  <c r="F46" i="1"/>
  <c r="E24" i="7" s="1"/>
  <c r="G45" i="1"/>
  <c r="F23" i="7" s="1"/>
  <c r="G46" i="1"/>
  <c r="F24" i="7" s="1"/>
  <c r="H45" i="1"/>
  <c r="G23" i="7" s="1"/>
  <c r="H46" i="1"/>
  <c r="G24" i="7" s="1"/>
  <c r="I45" i="1"/>
  <c r="H23" i="7" s="1"/>
  <c r="I46" i="1"/>
  <c r="H24" i="7" s="1"/>
  <c r="J45" i="1"/>
  <c r="J46" i="1"/>
  <c r="C133" i="9"/>
  <c r="K45" i="1"/>
  <c r="K46" i="1"/>
  <c r="H17" i="7"/>
  <c r="H37" i="1"/>
  <c r="G18" i="7" s="1"/>
  <c r="G37" i="1"/>
  <c r="F18" i="7" s="1"/>
  <c r="K37" i="1"/>
  <c r="J37" i="1"/>
  <c r="B36" i="1"/>
  <c r="C35" i="1"/>
  <c r="B14" i="1"/>
  <c r="D36" i="1"/>
  <c r="D35" i="1"/>
  <c r="B19" i="1"/>
  <c r="B32" i="1"/>
  <c r="B33" i="1" s="1"/>
  <c r="B31" i="1"/>
  <c r="H19" i="1"/>
  <c r="J24" i="1" s="1"/>
  <c r="H32" i="1"/>
  <c r="H33" i="1" s="1"/>
  <c r="G13" i="7" s="1"/>
  <c r="H31" i="1"/>
  <c r="G12" i="7" s="1"/>
  <c r="F19" i="1"/>
  <c r="I24" i="1" s="1"/>
  <c r="F32" i="1"/>
  <c r="F33" i="1" s="1"/>
  <c r="E13" i="7" s="1"/>
  <c r="F31" i="1"/>
  <c r="E12" i="7" s="1"/>
  <c r="M23" i="1"/>
  <c r="M4" i="1" s="1"/>
  <c r="N23" i="1"/>
  <c r="N4" i="1" s="1"/>
  <c r="D14" i="1"/>
  <c r="D22" i="7" s="1"/>
  <c r="E13" i="1"/>
  <c r="H24" i="1"/>
  <c r="N24" i="1" s="1"/>
  <c r="N6" i="1" s="1"/>
  <c r="N8" i="1"/>
  <c r="M8" i="1"/>
  <c r="M9" i="1"/>
  <c r="N9" i="1"/>
  <c r="M6" i="1"/>
  <c r="O63" i="10" l="1"/>
  <c r="P62" i="10"/>
  <c r="C37" i="1"/>
  <c r="D17" i="7"/>
  <c r="D37" i="1"/>
  <c r="F17" i="7"/>
  <c r="C135" i="9"/>
  <c r="C134" i="9"/>
  <c r="E14" i="1"/>
  <c r="E36" i="1"/>
  <c r="E35" i="1"/>
  <c r="D16" i="7" s="1"/>
  <c r="D15" i="7"/>
  <c r="F35" i="1"/>
  <c r="E16" i="7" s="1"/>
  <c r="M10" i="1"/>
  <c r="M12" i="1" s="1"/>
  <c r="M13" i="1" s="1"/>
  <c r="M15" i="1" s="1"/>
  <c r="H25" i="1"/>
  <c r="N5" i="1"/>
  <c r="N10" i="1"/>
  <c r="N12" i="1" s="1"/>
  <c r="N13" i="1" s="1"/>
  <c r="M5" i="1"/>
  <c r="D46" i="10" l="1"/>
  <c r="D49" i="10" s="1"/>
  <c r="D50" i="10" s="1"/>
  <c r="P63" i="10"/>
  <c r="E41" i="10" s="1"/>
  <c r="E22" i="7"/>
  <c r="I25" i="1"/>
  <c r="N25" i="1" s="1"/>
  <c r="N14" i="1" s="1"/>
  <c r="N15" i="1" s="1"/>
  <c r="F37" i="1"/>
  <c r="E18" i="7" s="1"/>
  <c r="E37" i="1"/>
  <c r="D18" i="7" s="1"/>
  <c r="G17" i="7"/>
  <c r="F130" i="9"/>
</calcChain>
</file>

<file path=xl/sharedStrings.xml><?xml version="1.0" encoding="utf-8"?>
<sst xmlns="http://schemas.openxmlformats.org/spreadsheetml/2006/main" count="279" uniqueCount="198">
  <si>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</si>
  <si>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</si>
  <si>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</si>
  <si>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</si>
  <si>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</si>
  <si>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</si>
  <si>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</si>
  <si>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</si>
  <si>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</si>
  <si>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</si>
  <si>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</si>
  <si>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</si>
  <si>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</si>
  <si>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</si>
  <si>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</si>
  <si>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</si>
  <si>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</si>
  <si>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</si>
  <si>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</si>
  <si>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</si>
  <si>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</si>
  <si>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</si>
  <si>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</si>
  <si>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</si>
  <si>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</si>
  <si>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</si>
  <si>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</si>
  <si>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</si>
  <si>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</si>
  <si>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</si>
  <si>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</si>
  <si>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</si>
  <si>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</si>
  <si>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</si>
  <si>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</si>
  <si>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</si>
  <si>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</si>
  <si>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</si>
  <si>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</si>
  <si>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</si>
  <si>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</si>
  <si>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</si>
  <si>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</si>
  <si>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</si>
  <si>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</si>
  <si>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</si>
  <si>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</si>
  <si>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</si>
  <si>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</si>
  <si>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</si>
  <si>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</si>
  <si>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</si>
  <si>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</si>
  <si>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</si>
  <si>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</si>
  <si>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</si>
  <si>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</si>
  <si>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</si>
  <si>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</si>
  <si>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</si>
  <si>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</si>
  <si>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</si>
  <si>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</si>
  <si>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</si>
  <si>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</si>
  <si>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</si>
  <si>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</si>
  <si>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</si>
  <si>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</si>
  <si>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</si>
  <si>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</si>
  <si>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</si>
  <si>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</si>
  <si>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</si>
  <si>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</si>
  <si>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</si>
  <si>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</si>
  <si>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</si>
  <si>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</si>
  <si>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</si>
  <si>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</si>
  <si>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ITC  LTD - ONE PAGER  PROFILE</t>
  </si>
  <si>
    <t>Established in 1910, ITC is the largest cigarette manufacturer and seller in the country. ITC operates in four business segments at present  FMCG Cigarettes, FMCG Others, Paperboards, Paper and Packaging, and Agri Business.</t>
  </si>
  <si>
    <t>KEY FINANCIALS METRICS</t>
  </si>
  <si>
    <t>Total Sales</t>
  </si>
  <si>
    <t>Sales-Growth(y-o-y)</t>
  </si>
  <si>
    <t>sales-growth</t>
  </si>
  <si>
    <t>Gross-profit</t>
  </si>
  <si>
    <t>GRM</t>
  </si>
  <si>
    <t>Gross Profit Margin</t>
  </si>
  <si>
    <t xml:space="preserve">EBITDA MARGINS </t>
  </si>
  <si>
    <t xml:space="preserve">EBIT </t>
  </si>
  <si>
    <t>EBIT Margins</t>
  </si>
  <si>
    <t>EBITDA Margins</t>
  </si>
  <si>
    <t>Net Margins</t>
  </si>
  <si>
    <t>Net Profit Margins</t>
  </si>
  <si>
    <t xml:space="preserve">EPS Growth (Y-O-Y ) </t>
  </si>
  <si>
    <t>EPS Growth</t>
  </si>
  <si>
    <t>Dividend Per Share</t>
  </si>
  <si>
    <t>Dividend Growth</t>
  </si>
  <si>
    <t>Dividend Growth(Y-O-Y )</t>
  </si>
  <si>
    <t>Date</t>
  </si>
  <si>
    <t>Adj. Close</t>
  </si>
  <si>
    <t>Share Price-5 YEAR</t>
  </si>
  <si>
    <t>Market Captilization</t>
  </si>
  <si>
    <t>Debt</t>
  </si>
  <si>
    <t>Cash</t>
  </si>
  <si>
    <t>EV</t>
  </si>
  <si>
    <t>Stock Return</t>
  </si>
  <si>
    <t>Nifty Return</t>
  </si>
  <si>
    <t>Adjusted Beta</t>
  </si>
  <si>
    <t>Cost Of Debt</t>
  </si>
  <si>
    <t>Cost of Equity</t>
  </si>
  <si>
    <t>TOTAL CAPITAL</t>
  </si>
  <si>
    <t>EQUITY-FUNDING</t>
  </si>
  <si>
    <t>Debt-Funding</t>
  </si>
  <si>
    <t>WACC</t>
  </si>
  <si>
    <t>EV/EBIT</t>
  </si>
  <si>
    <t>EV/SALES</t>
  </si>
  <si>
    <t>book value</t>
  </si>
  <si>
    <t>p/b</t>
  </si>
  <si>
    <t>KEY FINANCIALS RATIO</t>
  </si>
  <si>
    <t>Price-to-Earnings</t>
  </si>
  <si>
    <t xml:space="preserve">EV/EBIT </t>
  </si>
  <si>
    <t>Price-to-book value</t>
  </si>
  <si>
    <t>Return-on-equity</t>
  </si>
  <si>
    <t>Return-on-capital employed</t>
  </si>
  <si>
    <t>Financial Ratios</t>
  </si>
  <si>
    <t>% of holding</t>
  </si>
  <si>
    <t>Shares Held</t>
  </si>
  <si>
    <t>British American Tobacco p.l.c.</t>
  </si>
  <si>
    <t>Life Insurance Corporation of India</t>
  </si>
  <si>
    <t>Specified Undertaking of the Unit Trust of India</t>
  </si>
  <si>
    <t>Myddleton Investment Co. Ltd.</t>
  </si>
  <si>
    <t>ICICI Prudential Asset Management Company Limited</t>
  </si>
  <si>
    <t>GQG Partners LLC</t>
  </si>
  <si>
    <t>Qib Insurance Company</t>
  </si>
  <si>
    <t>GIC Asset Management Company Ltd.</t>
  </si>
  <si>
    <t>Nippon Life India Asset Management Limited</t>
  </si>
  <si>
    <t>Shareholders of ITC LTD</t>
  </si>
  <si>
    <t xml:space="preserve">Value </t>
  </si>
  <si>
    <t>Fills</t>
  </si>
  <si>
    <t>Dills</t>
  </si>
  <si>
    <t>Public</t>
  </si>
  <si>
    <t>Shareholding Pattern</t>
  </si>
  <si>
    <t>Capital Structure</t>
  </si>
  <si>
    <t>Cost of Debt</t>
  </si>
  <si>
    <t>Pre-Tax Cost of Debt</t>
  </si>
  <si>
    <t>Tax-Rate</t>
  </si>
  <si>
    <t>Post-Tax Cost of Debt</t>
  </si>
  <si>
    <t>Risk -Free Rate</t>
  </si>
  <si>
    <t>Market Return</t>
  </si>
  <si>
    <t>Beta</t>
  </si>
  <si>
    <t>Total-Debt</t>
  </si>
  <si>
    <t>Current</t>
  </si>
  <si>
    <t>Total-Captilization</t>
  </si>
  <si>
    <t>Target</t>
  </si>
  <si>
    <t>Debt/Equity</t>
  </si>
  <si>
    <t xml:space="preserve">Weighted Average Cost of Capital </t>
  </si>
  <si>
    <t>Equity-weight</t>
  </si>
  <si>
    <t>Debt-weight</t>
  </si>
  <si>
    <t>FCFF</t>
  </si>
  <si>
    <t>EBIT</t>
  </si>
  <si>
    <t>Reinvestment Ratio</t>
  </si>
  <si>
    <t>Growth-Rate</t>
  </si>
  <si>
    <t>ROIC</t>
  </si>
  <si>
    <t>Book-Equity</t>
  </si>
  <si>
    <t>Invested Capital</t>
  </si>
  <si>
    <t>Reinvestment Rate</t>
  </si>
  <si>
    <t>YEARS</t>
  </si>
  <si>
    <t>Period</t>
  </si>
  <si>
    <t>PV Factor</t>
  </si>
  <si>
    <t>PV-FCFF</t>
  </si>
  <si>
    <t>Terminal Value</t>
  </si>
  <si>
    <t>Growth-rate</t>
  </si>
  <si>
    <t>PV-Terminal Value</t>
  </si>
  <si>
    <t>Add-Cash</t>
  </si>
  <si>
    <t>Less-Debt</t>
  </si>
  <si>
    <t>Equity Value</t>
  </si>
  <si>
    <t>Implied Price</t>
  </si>
  <si>
    <t>Upside/Downside</t>
  </si>
  <si>
    <t>Conclusion</t>
  </si>
  <si>
    <t>Overvalued</t>
  </si>
  <si>
    <t>Enterprise Value</t>
  </si>
  <si>
    <t>Managerial Rumuneration</t>
  </si>
  <si>
    <t>Designation</t>
  </si>
  <si>
    <t>Rumuneration</t>
  </si>
  <si>
    <t>X of Median Salary</t>
  </si>
  <si>
    <t xml:space="preserve">MR.Sanjeev Puri </t>
  </si>
  <si>
    <t>CMD</t>
  </si>
  <si>
    <t>Executive Director</t>
  </si>
  <si>
    <t>S.Dutta</t>
  </si>
  <si>
    <t>H.Malik</t>
  </si>
  <si>
    <t>B.Sumanth</t>
  </si>
  <si>
    <t>377:1</t>
  </si>
  <si>
    <t>132:1</t>
  </si>
  <si>
    <t>99:1</t>
  </si>
  <si>
    <t>174:1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</si>
</sst>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 #,##0.00_ ;_ * \-#,##0.00_ ;_ * &quot;-&quot;??_ ;_ @_ "/>
    <numFmt numFmtId="165" formatCode="[$-409]mmm\-yy;@"/>
    <numFmt numFmtId="166" formatCode="_(* #,##0_);_(* \(#,##0\);_(* &quot;-&quot;??_);_(@_)"/>
    <numFmt numFmtId="167" formatCode="0.000000"/>
    <numFmt numFmtId="168" formatCode="0.0000"/>
    <numFmt numFmtId="169" formatCode="0.0%"/>
  </numFmts>
  <fonts count="18"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sz val="12"/>
      <color theme="0"/>
      <name val="Calibri"/>
      <family val="2"/>
      <scheme val="minor"/>
    </font>
    <font>
      <sz val="11"/>
      <color theme="1"/>
      <name val="Californian FB"/>
      <family val="1"/>
    </font>
    <font>
      <sz val="14"/>
      <color rgb="FF111827"/>
      <name val="Arial"/>
      <family val="2"/>
    </font>
    <font>
      <sz val="14"/>
      <color rgb="FF111827"/>
      <name val="Arial"/>
      <family val="2"/>
    </font>
    <font>
      <sz val="11"/>
      <color rgb="FF00B0F0"/>
      <name val="Calibri"/>
      <family val="2"/>
      <scheme val="minor"/>
    </font>
    <font>
      <sz val="11"/>
      <color rgb="FF0070C0"/>
      <name val="Calibri"/>
      <family val="2"/>
      <scheme val="minor"/>
    </font>
    <font>
      <sz val="11"/>
      <color rgb="FF232526"/>
      <name val="Segoe UI"/>
      <family val="2"/>
    </font>
    <font>
      <sz val="11"/>
      <color rgb="FF232526"/>
      <name val="Segoe UI"/>
      <family val="2"/>
    </font>
    <font>
      <sz val="11"/>
      <color theme="0"/>
      <name val="Segoe UI"/>
      <family val="2"/>
    </font>
    <font>
      <b/>
      <sz val="11"/>
      <color rgb="FF0A0A0A"/>
      <name val="Calibri"/>
      <family val="2"/>
      <scheme val="minor"/>
    </font>
  </fonts>
  <fills count="10">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70C0"/>
        <bgColor indexed="64"/>
      </patternFill>
    </fill>
    <fill>
      <patternFill patternType="solid">
        <fgColor rgb="FFFFFFFF"/>
        <bgColor indexed="64"/>
      </patternFill>
    </fill>
    <fill>
      <patternFill patternType="solid">
        <fgColor rgb="FFF6F7F8"/>
        <bgColor indexed="64"/>
      </patternFill>
    </fill>
    <fill>
      <patternFill patternType="solid">
        <fgColor rgb="FFF2F9FF"/>
        <bgColor indexed="64"/>
      </patternFill>
    </fill>
  </fills>
  <borders count="8">
    <border>
      <left/>
      <right/>
      <top/>
      <bottom/>
      <diagonal/>
    </border>
    <border>
      <left/>
      <right/>
      <top/>
      <bottom style="dotted">
        <color theme="0" tint="-0.34998626667073579"/>
      </bottom>
      <diagonal/>
    </border>
    <border>
      <left/>
      <right/>
      <top/>
      <bottom style="dashed">
        <color theme="0" tint="-0.499984740745262"/>
      </bottom>
      <diagonal/>
    </border>
    <border>
      <left/>
      <right/>
      <top style="medium">
        <color rgb="FFE5E7EB"/>
      </top>
      <bottom style="medium">
        <color rgb="FFE5E7EB"/>
      </bottom>
      <diagonal/>
    </border>
    <border>
      <left/>
      <right/>
      <top/>
      <bottom style="medium">
        <color rgb="FFE5E7EB"/>
      </bottom>
      <diagonal/>
    </border>
    <border>
      <left/>
      <right/>
      <top/>
      <bottom style="thin">
        <color indexed="64"/>
      </bottom>
      <diagonal/>
    </border>
    <border>
      <left/>
      <right/>
      <top style="thin">
        <color indexed="64"/>
      </top>
      <bottom/>
      <diagonal/>
    </border>
    <border>
      <left/>
      <right/>
      <top style="dotted">
        <color auto="1"/>
      </top>
      <bottom style="dotted">
        <color auto="1"/>
      </bottom>
      <diagonal/>
    </border>
  </borders>
  <cellStyleXfs count="7">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96">
    <xf numFmtId="0" fontId="0" fillId="0" borderId="0" xfId="0"/>
    <xf numFmtId="164" fontId="1" fillId="0" borderId="0" xfId="1" applyFont="1" applyBorder="1"/>
    <xf numFmtId="0" fontId="1" fillId="0" borderId="0" xfId="0" applyFont="1"/>
    <xf numFmtId="0" fontId="6" fillId="0" borderId="0" xfId="0" applyFont="1"/>
    <xf numFmtId="164" fontId="0" fillId="0" borderId="0" xfId="1" applyFont="1" applyBorder="1"/>
    <xf numFmtId="10" fontId="0" fillId="0" borderId="0" xfId="0" applyNumberFormat="1"/>
    <xf numFmtId="164" fontId="3" fillId="0" borderId="0" xfId="1" applyFont="1" applyBorder="1"/>
    <xf numFmtId="9" fontId="3" fillId="0" borderId="0" xfId="1" applyNumberFormat="1" applyFont="1" applyBorder="1"/>
    <xf numFmtId="164" fontId="2" fillId="2" borderId="0" xfId="3" applyNumberFormat="1" applyFont="1" applyBorder="1"/>
    <xf numFmtId="164"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64" fontId="0" fillId="0" borderId="0" xfId="1" applyFont="1" applyBorder="1" applyAlignment="1">
      <alignment horizontal="center"/>
    </xf>
    <xf numFmtId="164"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7" fillId="0" borderId="0" xfId="1" applyNumberFormat="1" applyFont="1" applyFill="1" applyBorder="1"/>
    <xf numFmtId="0" fontId="0" fillId="0" borderId="0" xfId="0" applyAlignment="1">
      <alignment horizontal="left"/>
    </xf>
    <xf numFmtId="0" fontId="7" fillId="0" borderId="0" xfId="0" applyFont="1"/>
    <xf numFmtId="43" fontId="0" fillId="0" borderId="0" xfId="1" applyNumberFormat="1" applyFont="1" applyBorder="1"/>
    <xf numFmtId="0" fontId="0" fillId="6" borderId="0" xfId="0" applyFill="1"/>
    <xf numFmtId="0" fontId="5" fillId="6" borderId="0" xfId="0" applyFont="1" applyFill="1"/>
    <xf numFmtId="0" fontId="8" fillId="6" borderId="0" xfId="0" applyFont="1" applyFill="1"/>
    <xf numFmtId="0" fontId="0" fillId="0" borderId="1" xfId="0" applyBorder="1"/>
    <xf numFmtId="0" fontId="0" fillId="0" borderId="2" xfId="0" applyBorder="1"/>
    <xf numFmtId="0" fontId="0" fillId="5" borderId="0" xfId="0" applyFill="1"/>
    <xf numFmtId="0" fontId="5" fillId="5" borderId="0" xfId="0" applyFont="1" applyFill="1"/>
    <xf numFmtId="16" fontId="5" fillId="5" borderId="0" xfId="0" applyNumberFormat="1" applyFont="1" applyFill="1"/>
    <xf numFmtId="9" fontId="0" fillId="0" borderId="0" xfId="6" applyFont="1"/>
    <xf numFmtId="10" fontId="0" fillId="0" borderId="0" xfId="6" applyNumberFormat="1" applyFont="1"/>
    <xf numFmtId="43" fontId="0" fillId="0" borderId="0" xfId="0" applyNumberFormat="1"/>
    <xf numFmtId="0" fontId="10" fillId="7" borderId="3" xfId="0" applyFont="1" applyFill="1" applyBorder="1" applyAlignment="1">
      <alignment horizontal="right" vertical="center"/>
    </xf>
    <xf numFmtId="0" fontId="11" fillId="8" borderId="4" xfId="0" applyFont="1" applyFill="1" applyBorder="1" applyAlignment="1">
      <alignment horizontal="right" vertical="center"/>
    </xf>
    <xf numFmtId="0" fontId="11" fillId="7" borderId="4" xfId="0" applyFont="1" applyFill="1" applyBorder="1" applyAlignment="1">
      <alignment horizontal="right" vertical="center"/>
    </xf>
    <xf numFmtId="0" fontId="11" fillId="9" borderId="4" xfId="0" applyFont="1" applyFill="1" applyBorder="1" applyAlignment="1">
      <alignment horizontal="right" vertical="center"/>
    </xf>
    <xf numFmtId="0" fontId="10" fillId="7" borderId="0" xfId="0" applyFont="1" applyFill="1" applyAlignment="1">
      <alignment horizontal="left" vertical="center"/>
    </xf>
    <xf numFmtId="17" fontId="11" fillId="8" borderId="0" xfId="0" applyNumberFormat="1" applyFont="1" applyFill="1" applyAlignment="1">
      <alignment horizontal="left" vertical="center"/>
    </xf>
    <xf numFmtId="17" fontId="11" fillId="7" borderId="0" xfId="0" applyNumberFormat="1" applyFont="1" applyFill="1" applyAlignment="1">
      <alignment horizontal="left" vertical="center"/>
    </xf>
    <xf numFmtId="17" fontId="11" fillId="9" borderId="0" xfId="0" applyNumberFormat="1" applyFont="1" applyFill="1" applyAlignment="1">
      <alignment horizontal="left" vertical="center"/>
    </xf>
    <xf numFmtId="166" fontId="0" fillId="0" borderId="0" xfId="0" applyNumberFormat="1"/>
    <xf numFmtId="167" fontId="0" fillId="0" borderId="0" xfId="0" applyNumberFormat="1"/>
    <xf numFmtId="168" fontId="0" fillId="0" borderId="0" xfId="0" applyNumberFormat="1"/>
    <xf numFmtId="2" fontId="0" fillId="0" borderId="0" xfId="0" applyNumberFormat="1"/>
    <xf numFmtId="1" fontId="0" fillId="0" borderId="0" xfId="0" applyNumberFormat="1"/>
    <xf numFmtId="164" fontId="0" fillId="0" borderId="0" xfId="0" applyNumberFormat="1"/>
    <xf numFmtId="0" fontId="13" fillId="6" borderId="0" xfId="0" applyFont="1" applyFill="1"/>
    <xf numFmtId="9" fontId="0" fillId="0" borderId="0" xfId="0" applyNumberFormat="1"/>
    <xf numFmtId="43" fontId="0" fillId="0" borderId="0" xfId="0" applyNumberFormat="1" applyAlignment="1">
      <alignment horizontal="right"/>
    </xf>
    <xf numFmtId="9" fontId="0" fillId="0" borderId="0" xfId="0" applyNumberFormat="1" applyAlignment="1">
      <alignment horizontal="right"/>
    </xf>
    <xf numFmtId="0" fontId="5" fillId="0" borderId="0" xfId="0" applyFont="1"/>
    <xf numFmtId="0" fontId="16" fillId="6" borderId="0" xfId="0" applyFont="1" applyFill="1" applyAlignment="1">
      <alignment horizontal="right" vertical="center"/>
    </xf>
    <xf numFmtId="0" fontId="0" fillId="0" borderId="5" xfId="0" applyBorder="1"/>
    <xf numFmtId="0" fontId="0" fillId="0" borderId="6" xfId="0" applyBorder="1"/>
    <xf numFmtId="9" fontId="0" fillId="0" borderId="6" xfId="6" applyFont="1" applyBorder="1"/>
    <xf numFmtId="10" fontId="0" fillId="0" borderId="6" xfId="6" applyNumberFormat="1" applyFont="1" applyBorder="1"/>
    <xf numFmtId="0" fontId="1" fillId="0" borderId="5" xfId="0" applyFont="1" applyBorder="1"/>
    <xf numFmtId="0" fontId="1" fillId="0" borderId="6" xfId="0" applyFont="1" applyBorder="1"/>
    <xf numFmtId="0" fontId="0" fillId="0" borderId="0" xfId="0" applyAlignment="1">
      <alignment horizontal="right"/>
    </xf>
    <xf numFmtId="0" fontId="0" fillId="0" borderId="6" xfId="0" applyBorder="1" applyAlignment="1">
      <alignment horizontal="left"/>
    </xf>
    <xf numFmtId="169" fontId="0" fillId="0" borderId="0" xfId="0" applyNumberFormat="1"/>
    <xf numFmtId="0" fontId="1" fillId="0" borderId="5" xfId="0" applyFont="1" applyBorder="1" applyAlignment="1">
      <alignment horizontal="right"/>
    </xf>
    <xf numFmtId="9" fontId="12" fillId="0" borderId="0" xfId="6" applyFont="1"/>
    <xf numFmtId="9" fontId="12" fillId="0" borderId="0" xfId="6" applyFont="1" applyAlignment="1">
      <alignment horizontal="right"/>
    </xf>
    <xf numFmtId="43" fontId="1" fillId="0" borderId="6" xfId="0" applyNumberFormat="1" applyFont="1" applyBorder="1"/>
    <xf numFmtId="10" fontId="1" fillId="0" borderId="6" xfId="6" applyNumberFormat="1" applyFont="1" applyBorder="1"/>
    <xf numFmtId="10" fontId="17" fillId="0" borderId="0" xfId="0" applyNumberFormat="1" applyFont="1"/>
    <xf numFmtId="9" fontId="13" fillId="0" borderId="0" xfId="6" applyFont="1"/>
    <xf numFmtId="10" fontId="13" fillId="0" borderId="0" xfId="0" applyNumberFormat="1" applyFont="1"/>
    <xf numFmtId="0" fontId="5" fillId="6" borderId="0" xfId="0" applyFont="1" applyFill="1" applyAlignment="1">
      <alignment horizontal="right"/>
    </xf>
    <xf numFmtId="0" fontId="2" fillId="6" borderId="0" xfId="0" applyFont="1" applyFill="1"/>
    <xf numFmtId="0" fontId="0" fillId="0" borderId="7" xfId="0" applyBorder="1"/>
    <xf numFmtId="2" fontId="0" fillId="0" borderId="7" xfId="0" quotePrefix="1" applyNumberFormat="1" applyBorder="1" applyAlignment="1">
      <alignment horizontal="right"/>
    </xf>
    <xf numFmtId="46" fontId="0" fillId="0" borderId="7" xfId="0" quotePrefix="1" applyNumberFormat="1" applyBorder="1" applyAlignment="1">
      <alignment horizontal="right"/>
    </xf>
    <xf numFmtId="3" fontId="0" fillId="0" borderId="7" xfId="0" applyNumberFormat="1" applyBorder="1"/>
    <xf numFmtId="0" fontId="9" fillId="0" borderId="7" xfId="0" applyFont="1" applyBorder="1"/>
    <xf numFmtId="10" fontId="9" fillId="0" borderId="7" xfId="6" applyNumberFormat="1" applyFont="1" applyBorder="1"/>
    <xf numFmtId="10" fontId="0" fillId="0" borderId="7" xfId="0" applyNumberFormat="1" applyBorder="1"/>
    <xf numFmtId="2" fontId="0" fillId="0" borderId="7" xfId="0" applyNumberFormat="1" applyBorder="1"/>
    <xf numFmtId="10" fontId="9" fillId="0" borderId="7" xfId="0" applyNumberFormat="1" applyFont="1" applyBorder="1"/>
    <xf numFmtId="43" fontId="0" fillId="0" borderId="7" xfId="0" applyNumberFormat="1" applyBorder="1"/>
    <xf numFmtId="2" fontId="0" fillId="0" borderId="7" xfId="0" applyNumberFormat="1" applyBorder="1" applyAlignment="1">
      <alignment horizontal="right"/>
    </xf>
    <xf numFmtId="43" fontId="0" fillId="0" borderId="7" xfId="0" applyNumberFormat="1" applyBorder="1" applyAlignment="1">
      <alignment horizontal="right"/>
    </xf>
    <xf numFmtId="9" fontId="0" fillId="0" borderId="7" xfId="0" applyNumberFormat="1" applyBorder="1" applyAlignment="1">
      <alignment horizontal="right"/>
    </xf>
    <xf numFmtId="9" fontId="0" fillId="0" borderId="7" xfId="0" applyNumberFormat="1" applyBorder="1"/>
    <xf numFmtId="0" fontId="4" fillId="7" borderId="7" xfId="2" applyFill="1" applyBorder="1" applyAlignment="1" applyProtection="1">
      <alignment horizontal="left" vertical="center"/>
    </xf>
    <xf numFmtId="10" fontId="15" fillId="7" borderId="7" xfId="0" applyNumberFormat="1" applyFont="1" applyFill="1" applyBorder="1" applyAlignment="1">
      <alignment horizontal="right" vertical="center"/>
    </xf>
    <xf numFmtId="1" fontId="15" fillId="7" borderId="7" xfId="6" applyNumberFormat="1" applyFont="1" applyFill="1" applyBorder="1" applyAlignment="1">
      <alignment horizontal="right" vertical="center"/>
    </xf>
    <xf numFmtId="3" fontId="15" fillId="7" borderId="7" xfId="0" applyNumberFormat="1" applyFont="1" applyFill="1" applyBorder="1" applyAlignment="1">
      <alignment horizontal="right" vertical="center"/>
    </xf>
    <xf numFmtId="0" fontId="14" fillId="7" borderId="7" xfId="0" applyFont="1" applyFill="1" applyBorder="1" applyAlignment="1">
      <alignment horizontal="left" vertical="center"/>
    </xf>
    <xf numFmtId="0" fontId="1" fillId="0" borderId="7" xfId="0" applyFont="1" applyBorder="1"/>
    <xf numFmtId="43" fontId="1" fillId="0" borderId="7" xfId="0" applyNumberFormat="1" applyFont="1" applyBorder="1"/>
    <xf numFmtId="0" fontId="1" fillId="0" borderId="0" xfId="0" applyFont="1" applyAlignment="1">
      <alignment horizontal="left" wrapText="1"/>
    </xf>
    <xf numFmtId="164" fontId="4" fillId="0" borderId="0" xfId="2" applyNumberFormat="1" applyBorder="1" applyAlignment="1" applyProtection="1">
      <alignment horizontal="center"/>
    </xf>
    <xf numFmtId="164" fontId="2" fillId="4" borderId="0" xfId="5" applyNumberFormat="1" applyFont="1" applyBorder="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1" defaultTableStyle="TableStyleMedium9" defaultPivotStyle="PivotStyleLight16">
    <tableStyle name="Invisible" pivot="0" table="0" count="0" xr9:uid="{53A7F236-2A4B-46B2-A3A0-D0011674CB23}"/>
  </tableStyles>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'ADJ DATA '!$C$4</c:f>
              <c:strCache>
                <c:ptCount val="1"/>
                <c:pt idx="0">
                  <c:v>Adj. Close</c:v>
                </c:pt>
              </c:strCache>
            </c:strRef>
          </c:tx>
          <c:spPr>
            <a:ln w="28575" cap="rnd">
              <a:solidFill>
                <a:schemeClr val="tx1">
                  <a:lumMod val="95000"/>
                  <a:lumOff val="5000"/>
                </a:schemeClr>
              </a:solidFill>
              <a:round/>
            </a:ln>
            <a:effectLst/>
          </c:spPr>
          <c:marker>
            <c:symbol val="none"/>
          </c:marker>
          <c:dPt>
            <c:idx val="43"/>
            <c:marker>
              <c:symbol val="none"/>
            </c:marker>
            <c:bubble3D val="0"/>
            <c:extLst>
              <c:ext xmlns:c16="http://schemas.microsoft.com/office/drawing/2014/chart" uri="{C3380CC4-5D6E-409C-BE32-E72D297353CC}">
                <c16:uniqueId val="{00000001-49BC-491D-80B9-C6B4D74FE257}"/>
              </c:ext>
            </c:extLst>
          </c:dPt>
          <c:cat>
            <c:numRef>
              <c:f>'ADJ DATA '!$B$5:$B$124</c:f>
              <c:numCache>
                <c:formatCode>mmm\-yy</c:formatCode>
                <c:ptCount val="120"/>
                <c:pt idx="0">
                  <c:v>46082</c:v>
                </c:pt>
                <c:pt idx="1">
                  <c:v>46054</c:v>
                </c:pt>
                <c:pt idx="2">
                  <c:v>46023</c:v>
                </c:pt>
                <c:pt idx="3">
                  <c:v>45992</c:v>
                </c:pt>
                <c:pt idx="4">
                  <c:v>45962</c:v>
                </c:pt>
                <c:pt idx="5">
                  <c:v>45931</c:v>
                </c:pt>
                <c:pt idx="6">
                  <c:v>45901</c:v>
                </c:pt>
                <c:pt idx="7">
                  <c:v>45870</c:v>
                </c:pt>
                <c:pt idx="8">
                  <c:v>45839</c:v>
                </c:pt>
                <c:pt idx="9">
                  <c:v>45809</c:v>
                </c:pt>
                <c:pt idx="10">
                  <c:v>45778</c:v>
                </c:pt>
                <c:pt idx="11">
                  <c:v>45748</c:v>
                </c:pt>
                <c:pt idx="12">
                  <c:v>45717</c:v>
                </c:pt>
                <c:pt idx="13">
                  <c:v>45689</c:v>
                </c:pt>
                <c:pt idx="14">
                  <c:v>45658</c:v>
                </c:pt>
                <c:pt idx="15">
                  <c:v>45627</c:v>
                </c:pt>
                <c:pt idx="16">
                  <c:v>45597</c:v>
                </c:pt>
                <c:pt idx="17">
                  <c:v>45566</c:v>
                </c:pt>
                <c:pt idx="18">
                  <c:v>45536</c:v>
                </c:pt>
                <c:pt idx="19">
                  <c:v>45505</c:v>
                </c:pt>
                <c:pt idx="20">
                  <c:v>45474</c:v>
                </c:pt>
                <c:pt idx="21">
                  <c:v>45444</c:v>
                </c:pt>
                <c:pt idx="22">
                  <c:v>45413</c:v>
                </c:pt>
                <c:pt idx="23">
                  <c:v>45383</c:v>
                </c:pt>
                <c:pt idx="24">
                  <c:v>45352</c:v>
                </c:pt>
                <c:pt idx="25">
                  <c:v>45323</c:v>
                </c:pt>
                <c:pt idx="26">
                  <c:v>45292</c:v>
                </c:pt>
                <c:pt idx="27">
                  <c:v>45261</c:v>
                </c:pt>
                <c:pt idx="28">
                  <c:v>45231</c:v>
                </c:pt>
                <c:pt idx="29">
                  <c:v>45200</c:v>
                </c:pt>
                <c:pt idx="30">
                  <c:v>45170</c:v>
                </c:pt>
                <c:pt idx="31">
                  <c:v>45139</c:v>
                </c:pt>
                <c:pt idx="32">
                  <c:v>45108</c:v>
                </c:pt>
                <c:pt idx="33">
                  <c:v>45078</c:v>
                </c:pt>
                <c:pt idx="34">
                  <c:v>45047</c:v>
                </c:pt>
                <c:pt idx="35">
                  <c:v>45017</c:v>
                </c:pt>
                <c:pt idx="36">
                  <c:v>44986</c:v>
                </c:pt>
                <c:pt idx="37">
                  <c:v>44958</c:v>
                </c:pt>
                <c:pt idx="38">
                  <c:v>44927</c:v>
                </c:pt>
                <c:pt idx="39">
                  <c:v>44896</c:v>
                </c:pt>
                <c:pt idx="40">
                  <c:v>44866</c:v>
                </c:pt>
                <c:pt idx="41">
                  <c:v>44835</c:v>
                </c:pt>
                <c:pt idx="42">
                  <c:v>44805</c:v>
                </c:pt>
                <c:pt idx="43">
                  <c:v>44774</c:v>
                </c:pt>
                <c:pt idx="44">
                  <c:v>44743</c:v>
                </c:pt>
                <c:pt idx="45">
                  <c:v>44713</c:v>
                </c:pt>
                <c:pt idx="46">
                  <c:v>44682</c:v>
                </c:pt>
                <c:pt idx="47">
                  <c:v>44652</c:v>
                </c:pt>
                <c:pt idx="48">
                  <c:v>44621</c:v>
                </c:pt>
                <c:pt idx="49">
                  <c:v>44593</c:v>
                </c:pt>
                <c:pt idx="50">
                  <c:v>44562</c:v>
                </c:pt>
                <c:pt idx="51">
                  <c:v>44531</c:v>
                </c:pt>
                <c:pt idx="52">
                  <c:v>44501</c:v>
                </c:pt>
                <c:pt idx="53">
                  <c:v>44470</c:v>
                </c:pt>
                <c:pt idx="54">
                  <c:v>44440</c:v>
                </c:pt>
                <c:pt idx="55">
                  <c:v>44409</c:v>
                </c:pt>
                <c:pt idx="56">
                  <c:v>44378</c:v>
                </c:pt>
                <c:pt idx="57">
                  <c:v>44348</c:v>
                </c:pt>
                <c:pt idx="58">
                  <c:v>44317</c:v>
                </c:pt>
                <c:pt idx="59">
                  <c:v>44287</c:v>
                </c:pt>
                <c:pt idx="60">
                  <c:v>44256</c:v>
                </c:pt>
                <c:pt idx="61">
                  <c:v>44228</c:v>
                </c:pt>
                <c:pt idx="62">
                  <c:v>44197</c:v>
                </c:pt>
                <c:pt idx="63">
                  <c:v>44166</c:v>
                </c:pt>
                <c:pt idx="64">
                  <c:v>44136</c:v>
                </c:pt>
                <c:pt idx="65">
                  <c:v>44105</c:v>
                </c:pt>
                <c:pt idx="66">
                  <c:v>44075</c:v>
                </c:pt>
                <c:pt idx="67">
                  <c:v>44044</c:v>
                </c:pt>
                <c:pt idx="68">
                  <c:v>44013</c:v>
                </c:pt>
                <c:pt idx="69">
                  <c:v>43983</c:v>
                </c:pt>
                <c:pt idx="70">
                  <c:v>43952</c:v>
                </c:pt>
                <c:pt idx="71">
                  <c:v>43922</c:v>
                </c:pt>
                <c:pt idx="72">
                  <c:v>43891</c:v>
                </c:pt>
                <c:pt idx="73">
                  <c:v>43862</c:v>
                </c:pt>
                <c:pt idx="74">
                  <c:v>43831</c:v>
                </c:pt>
                <c:pt idx="75">
                  <c:v>43800</c:v>
                </c:pt>
                <c:pt idx="76">
                  <c:v>43770</c:v>
                </c:pt>
                <c:pt idx="77">
                  <c:v>43739</c:v>
                </c:pt>
                <c:pt idx="78">
                  <c:v>43709</c:v>
                </c:pt>
                <c:pt idx="79">
                  <c:v>43678</c:v>
                </c:pt>
                <c:pt idx="80">
                  <c:v>43647</c:v>
                </c:pt>
                <c:pt idx="81">
                  <c:v>43617</c:v>
                </c:pt>
                <c:pt idx="82">
                  <c:v>43586</c:v>
                </c:pt>
                <c:pt idx="83">
                  <c:v>43556</c:v>
                </c:pt>
                <c:pt idx="84">
                  <c:v>43525</c:v>
                </c:pt>
                <c:pt idx="85">
                  <c:v>43497</c:v>
                </c:pt>
                <c:pt idx="86">
                  <c:v>43466</c:v>
                </c:pt>
                <c:pt idx="87">
                  <c:v>43435</c:v>
                </c:pt>
                <c:pt idx="88">
                  <c:v>43405</c:v>
                </c:pt>
                <c:pt idx="89">
                  <c:v>43374</c:v>
                </c:pt>
                <c:pt idx="90">
                  <c:v>43344</c:v>
                </c:pt>
                <c:pt idx="91">
                  <c:v>43313</c:v>
                </c:pt>
                <c:pt idx="92">
                  <c:v>43282</c:v>
                </c:pt>
                <c:pt idx="93">
                  <c:v>43252</c:v>
                </c:pt>
                <c:pt idx="94">
                  <c:v>43221</c:v>
                </c:pt>
                <c:pt idx="95">
                  <c:v>43191</c:v>
                </c:pt>
                <c:pt idx="96">
                  <c:v>43160</c:v>
                </c:pt>
                <c:pt idx="97">
                  <c:v>43132</c:v>
                </c:pt>
                <c:pt idx="98">
                  <c:v>43101</c:v>
                </c:pt>
                <c:pt idx="99">
                  <c:v>43070</c:v>
                </c:pt>
                <c:pt idx="100">
                  <c:v>43040</c:v>
                </c:pt>
                <c:pt idx="101">
                  <c:v>43009</c:v>
                </c:pt>
                <c:pt idx="102">
                  <c:v>42979</c:v>
                </c:pt>
                <c:pt idx="103">
                  <c:v>42948</c:v>
                </c:pt>
                <c:pt idx="104">
                  <c:v>42917</c:v>
                </c:pt>
                <c:pt idx="105">
                  <c:v>42887</c:v>
                </c:pt>
                <c:pt idx="106">
                  <c:v>42856</c:v>
                </c:pt>
                <c:pt idx="107">
                  <c:v>42826</c:v>
                </c:pt>
                <c:pt idx="108">
                  <c:v>42795</c:v>
                </c:pt>
                <c:pt idx="109">
                  <c:v>42767</c:v>
                </c:pt>
                <c:pt idx="110">
                  <c:v>42736</c:v>
                </c:pt>
                <c:pt idx="111">
                  <c:v>42705</c:v>
                </c:pt>
                <c:pt idx="112">
                  <c:v>42675</c:v>
                </c:pt>
                <c:pt idx="113">
                  <c:v>42644</c:v>
                </c:pt>
                <c:pt idx="114">
                  <c:v>42614</c:v>
                </c:pt>
                <c:pt idx="115">
                  <c:v>42583</c:v>
                </c:pt>
                <c:pt idx="116">
                  <c:v>42552</c:v>
                </c:pt>
                <c:pt idx="117">
                  <c:v>42522</c:v>
                </c:pt>
                <c:pt idx="118">
                  <c:v>42491</c:v>
                </c:pt>
                <c:pt idx="119">
                  <c:v>42461</c:v>
                </c:pt>
              </c:numCache>
            </c:numRef>
          </c:cat>
          <c:val>
            <c:numRef>
              <c:f>'ADJ DATA '!$C$5:$C$124</c:f>
              <c:numCache>
                <c:formatCode>General</c:formatCode>
                <c:ptCount val="120"/>
                <c:pt idx="0">
                  <c:v>309.7</c:v>
                </c:pt>
                <c:pt idx="1">
                  <c:v>313.60000000000002</c:v>
                </c:pt>
                <c:pt idx="2">
                  <c:v>315.54000000000002</c:v>
                </c:pt>
                <c:pt idx="3">
                  <c:v>394.73</c:v>
                </c:pt>
                <c:pt idx="4">
                  <c:v>395.95</c:v>
                </c:pt>
                <c:pt idx="5">
                  <c:v>411.72</c:v>
                </c:pt>
                <c:pt idx="6">
                  <c:v>393.31</c:v>
                </c:pt>
                <c:pt idx="7">
                  <c:v>401.34</c:v>
                </c:pt>
                <c:pt idx="8">
                  <c:v>403.49</c:v>
                </c:pt>
                <c:pt idx="9">
                  <c:v>407.9</c:v>
                </c:pt>
                <c:pt idx="10">
                  <c:v>409.47</c:v>
                </c:pt>
                <c:pt idx="11">
                  <c:v>409.51</c:v>
                </c:pt>
                <c:pt idx="12">
                  <c:v>394.08</c:v>
                </c:pt>
                <c:pt idx="13">
                  <c:v>379.89</c:v>
                </c:pt>
                <c:pt idx="14">
                  <c:v>423.7</c:v>
                </c:pt>
                <c:pt idx="15">
                  <c:v>440.81</c:v>
                </c:pt>
                <c:pt idx="16">
                  <c:v>434.52</c:v>
                </c:pt>
                <c:pt idx="17">
                  <c:v>445.5</c:v>
                </c:pt>
                <c:pt idx="18">
                  <c:v>472.25</c:v>
                </c:pt>
                <c:pt idx="19">
                  <c:v>457.44</c:v>
                </c:pt>
                <c:pt idx="20">
                  <c:v>451.47</c:v>
                </c:pt>
                <c:pt idx="21">
                  <c:v>387.26</c:v>
                </c:pt>
                <c:pt idx="22">
                  <c:v>381.9</c:v>
                </c:pt>
                <c:pt idx="23">
                  <c:v>390.14</c:v>
                </c:pt>
                <c:pt idx="24">
                  <c:v>383.6</c:v>
                </c:pt>
                <c:pt idx="25">
                  <c:v>363.86</c:v>
                </c:pt>
                <c:pt idx="26">
                  <c:v>389.7</c:v>
                </c:pt>
                <c:pt idx="27">
                  <c:v>407.84</c:v>
                </c:pt>
                <c:pt idx="28">
                  <c:v>384.63</c:v>
                </c:pt>
                <c:pt idx="29">
                  <c:v>378.09</c:v>
                </c:pt>
                <c:pt idx="30">
                  <c:v>392.22</c:v>
                </c:pt>
                <c:pt idx="31">
                  <c:v>388.07</c:v>
                </c:pt>
                <c:pt idx="32">
                  <c:v>411.01</c:v>
                </c:pt>
                <c:pt idx="33">
                  <c:v>398.57</c:v>
                </c:pt>
                <c:pt idx="34">
                  <c:v>393.19</c:v>
                </c:pt>
                <c:pt idx="35">
                  <c:v>367.63</c:v>
                </c:pt>
                <c:pt idx="36">
                  <c:v>331.31</c:v>
                </c:pt>
                <c:pt idx="37">
                  <c:v>325.43</c:v>
                </c:pt>
                <c:pt idx="38">
                  <c:v>299.67</c:v>
                </c:pt>
                <c:pt idx="39">
                  <c:v>281.98</c:v>
                </c:pt>
                <c:pt idx="40">
                  <c:v>289.17</c:v>
                </c:pt>
                <c:pt idx="41">
                  <c:v>296.57</c:v>
                </c:pt>
                <c:pt idx="42">
                  <c:v>282.52999999999997</c:v>
                </c:pt>
                <c:pt idx="43">
                  <c:v>272.58</c:v>
                </c:pt>
                <c:pt idx="44">
                  <c:v>257.74</c:v>
                </c:pt>
                <c:pt idx="45">
                  <c:v>232.61</c:v>
                </c:pt>
                <c:pt idx="46">
                  <c:v>230.19</c:v>
                </c:pt>
                <c:pt idx="47">
                  <c:v>215.69</c:v>
                </c:pt>
                <c:pt idx="48">
                  <c:v>208.29</c:v>
                </c:pt>
                <c:pt idx="49">
                  <c:v>179.37</c:v>
                </c:pt>
                <c:pt idx="50">
                  <c:v>178.85</c:v>
                </c:pt>
                <c:pt idx="51">
                  <c:v>177.11</c:v>
                </c:pt>
                <c:pt idx="52">
                  <c:v>179.62</c:v>
                </c:pt>
                <c:pt idx="53">
                  <c:v>181.29</c:v>
                </c:pt>
                <c:pt idx="54">
                  <c:v>191.81</c:v>
                </c:pt>
                <c:pt idx="55">
                  <c:v>171.62</c:v>
                </c:pt>
                <c:pt idx="56">
                  <c:v>166.47</c:v>
                </c:pt>
                <c:pt idx="57">
                  <c:v>164.64</c:v>
                </c:pt>
                <c:pt idx="58">
                  <c:v>171.17</c:v>
                </c:pt>
                <c:pt idx="59">
                  <c:v>160.11000000000001</c:v>
                </c:pt>
                <c:pt idx="60">
                  <c:v>172.67</c:v>
                </c:pt>
                <c:pt idx="61">
                  <c:v>161.09</c:v>
                </c:pt>
                <c:pt idx="62">
                  <c:v>156.9</c:v>
                </c:pt>
                <c:pt idx="63">
                  <c:v>161.34</c:v>
                </c:pt>
                <c:pt idx="64">
                  <c:v>149.49</c:v>
                </c:pt>
                <c:pt idx="65">
                  <c:v>127.57</c:v>
                </c:pt>
                <c:pt idx="66">
                  <c:v>132.54</c:v>
                </c:pt>
                <c:pt idx="67">
                  <c:v>147.52000000000001</c:v>
                </c:pt>
                <c:pt idx="68">
                  <c:v>149.88</c:v>
                </c:pt>
                <c:pt idx="69">
                  <c:v>142.91</c:v>
                </c:pt>
                <c:pt idx="70">
                  <c:v>144.9</c:v>
                </c:pt>
                <c:pt idx="71">
                  <c:v>133.66</c:v>
                </c:pt>
                <c:pt idx="72">
                  <c:v>126.06</c:v>
                </c:pt>
                <c:pt idx="73">
                  <c:v>145.04</c:v>
                </c:pt>
                <c:pt idx="74">
                  <c:v>172.65</c:v>
                </c:pt>
                <c:pt idx="75">
                  <c:v>174.52</c:v>
                </c:pt>
                <c:pt idx="76">
                  <c:v>180.91</c:v>
                </c:pt>
                <c:pt idx="77">
                  <c:v>189.17</c:v>
                </c:pt>
                <c:pt idx="78">
                  <c:v>190.78</c:v>
                </c:pt>
                <c:pt idx="79">
                  <c:v>180.36</c:v>
                </c:pt>
                <c:pt idx="80">
                  <c:v>198.38</c:v>
                </c:pt>
                <c:pt idx="81">
                  <c:v>201.06</c:v>
                </c:pt>
                <c:pt idx="82">
                  <c:v>204.51</c:v>
                </c:pt>
                <c:pt idx="83">
                  <c:v>217.09</c:v>
                </c:pt>
                <c:pt idx="84">
                  <c:v>214.14</c:v>
                </c:pt>
                <c:pt idx="85">
                  <c:v>198.87</c:v>
                </c:pt>
                <c:pt idx="86">
                  <c:v>200.74</c:v>
                </c:pt>
                <c:pt idx="87">
                  <c:v>202.9</c:v>
                </c:pt>
                <c:pt idx="88">
                  <c:v>205.89</c:v>
                </c:pt>
                <c:pt idx="89">
                  <c:v>201.78</c:v>
                </c:pt>
                <c:pt idx="90">
                  <c:v>214.5</c:v>
                </c:pt>
                <c:pt idx="91">
                  <c:v>230.42</c:v>
                </c:pt>
                <c:pt idx="92">
                  <c:v>214.46</c:v>
                </c:pt>
                <c:pt idx="93">
                  <c:v>191.77</c:v>
                </c:pt>
                <c:pt idx="94">
                  <c:v>195.7</c:v>
                </c:pt>
                <c:pt idx="95">
                  <c:v>198.96</c:v>
                </c:pt>
                <c:pt idx="96">
                  <c:v>180.61</c:v>
                </c:pt>
                <c:pt idx="97">
                  <c:v>187.37</c:v>
                </c:pt>
                <c:pt idx="98">
                  <c:v>191.85</c:v>
                </c:pt>
                <c:pt idx="99">
                  <c:v>186.09</c:v>
                </c:pt>
                <c:pt idx="100">
                  <c:v>181</c:v>
                </c:pt>
                <c:pt idx="101">
                  <c:v>187.82</c:v>
                </c:pt>
                <c:pt idx="102">
                  <c:v>182.59</c:v>
                </c:pt>
                <c:pt idx="103">
                  <c:v>199.52</c:v>
                </c:pt>
                <c:pt idx="104">
                  <c:v>201.64</c:v>
                </c:pt>
                <c:pt idx="105">
                  <c:v>228.79</c:v>
                </c:pt>
                <c:pt idx="106">
                  <c:v>217.13</c:v>
                </c:pt>
                <c:pt idx="107">
                  <c:v>193.6</c:v>
                </c:pt>
                <c:pt idx="108">
                  <c:v>195.2</c:v>
                </c:pt>
                <c:pt idx="109">
                  <c:v>182.59</c:v>
                </c:pt>
                <c:pt idx="110">
                  <c:v>179.74</c:v>
                </c:pt>
                <c:pt idx="111">
                  <c:v>168.28</c:v>
                </c:pt>
                <c:pt idx="112">
                  <c:v>161.91</c:v>
                </c:pt>
                <c:pt idx="113">
                  <c:v>168.28</c:v>
                </c:pt>
                <c:pt idx="114">
                  <c:v>168.07</c:v>
                </c:pt>
                <c:pt idx="115">
                  <c:v>181.09</c:v>
                </c:pt>
                <c:pt idx="116">
                  <c:v>175.8</c:v>
                </c:pt>
                <c:pt idx="117">
                  <c:v>171.03</c:v>
                </c:pt>
                <c:pt idx="118">
                  <c:v>162.97999999999999</c:v>
                </c:pt>
                <c:pt idx="119">
                  <c:v>147.29</c:v>
                </c:pt>
              </c:numCache>
            </c:numRef>
          </c:val>
          <c:smooth val="0"/>
          <c:extLst>
            <c:ext xmlns:c16="http://schemas.microsoft.com/office/drawing/2014/chart" uri="{C3380CC4-5D6E-409C-BE32-E72D297353CC}">
              <c16:uniqueId val="{00000002-49BC-491D-80B9-C6B4D74FE257}"/>
            </c:ext>
          </c:extLst>
        </c:ser>
        <c:dLbls>
          <c:showLegendKey val="0"/>
          <c:showVal val="0"/>
          <c:showCatName val="0"/>
          <c:showSerName val="0"/>
          <c:showPercent val="0"/>
          <c:showBubbleSize val="0"/>
        </c:dLbls>
        <c:smooth val="0"/>
        <c:axId val="213484304"/>
        <c:axId val="213480944"/>
      </c:lineChart>
      <c:dateAx>
        <c:axId val="213484304"/>
        <c:scaling>
          <c:orientation val="minMax"/>
        </c:scaling>
        <c:delete val="0"/>
        <c:axPos val="b"/>
        <c:numFmt formatCode="mmm\-yy"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944"/>
        <c:crosses val="autoZero"/>
        <c:auto val="1"/>
        <c:lblOffset val="100"/>
        <c:baseTimeUnit val="months"/>
      </c:dateAx>
      <c:valAx>
        <c:axId val="21348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4304"/>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469816272965886E-2"/>
          <c:y val="0.13054753572470107"/>
          <c:w val="0.84786592300962382"/>
          <c:h val="0.78520122484689414"/>
        </c:manualLayout>
      </c:layout>
      <c:barChart>
        <c:barDir val="col"/>
        <c:grouping val="clustered"/>
        <c:varyColors val="0"/>
        <c:ser>
          <c:idx val="0"/>
          <c:order val="0"/>
          <c:tx>
            <c:strRef>
              <c:f>Teaser!$B$22</c:f>
              <c:strCache>
                <c:ptCount val="1"/>
                <c:pt idx="0">
                  <c:v>Price-to-Earnings</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val>
            <c:numRef>
              <c:f>Teaser!$C$22:$H$22</c:f>
              <c:numCache>
                <c:formatCode>0.00</c:formatCode>
                <c:ptCount val="6"/>
                <c:pt idx="1">
                  <c:v>25.932729877918941</c:v>
                </c:pt>
                <c:pt idx="2">
                  <c:v>27.125530414148926</c:v>
                </c:pt>
                <c:pt idx="3">
                  <c:v>12.925649163771876</c:v>
                </c:pt>
                <c:pt idx="4">
                  <c:v>19.155474664525016</c:v>
                </c:pt>
                <c:pt idx="5">
                  <c:v>18.995913889045614</c:v>
                </c:pt>
              </c:numCache>
            </c:numRef>
          </c:val>
          <c:extLst>
            <c:ext xmlns:c16="http://schemas.microsoft.com/office/drawing/2014/chart" uri="{C3380CC4-5D6E-409C-BE32-E72D297353CC}">
              <c16:uniqueId val="{00000000-998F-48A4-ACBF-4A9D8DD50CF1}"/>
            </c:ext>
          </c:extLst>
        </c:ser>
        <c:ser>
          <c:idx val="1"/>
          <c:order val="1"/>
          <c:tx>
            <c:strRef>
              <c:f>Teaser!$B$23</c:f>
              <c:strCache>
                <c:ptCount val="1"/>
                <c:pt idx="0">
                  <c:v>EV/EBIT </c:v>
                </c:pt>
              </c:strCache>
            </c:strRef>
          </c:tx>
          <c:spPr>
            <a:solidFill>
              <a:schemeClr val="accent2"/>
            </a:solidFill>
            <a:ln>
              <a:noFill/>
            </a:ln>
            <a:effectLst/>
          </c:spPr>
          <c:invertIfNegative val="0"/>
          <c:val>
            <c:numRef>
              <c:f>Teaser!$C$23:$H$23</c:f>
              <c:numCache>
                <c:formatCode>0.00</c:formatCode>
                <c:ptCount val="6"/>
                <c:pt idx="1">
                  <c:v>18.215673317549012</c:v>
                </c:pt>
                <c:pt idx="2">
                  <c:v>9.8674626774623491</c:v>
                </c:pt>
                <c:pt idx="3">
                  <c:v>14.518397049361321</c:v>
                </c:pt>
                <c:pt idx="4">
                  <c:v>13.828070726343936</c:v>
                </c:pt>
                <c:pt idx="5">
                  <c:v>17.19146872930791</c:v>
                </c:pt>
              </c:numCache>
            </c:numRef>
          </c:val>
          <c:extLst>
            <c:ext xmlns:c16="http://schemas.microsoft.com/office/drawing/2014/chart" uri="{C3380CC4-5D6E-409C-BE32-E72D297353CC}">
              <c16:uniqueId val="{00000001-998F-48A4-ACBF-4A9D8DD50CF1}"/>
            </c:ext>
          </c:extLst>
        </c:ser>
        <c:ser>
          <c:idx val="2"/>
          <c:order val="2"/>
          <c:tx>
            <c:strRef>
              <c:f>Teaser!$B$24</c:f>
              <c:strCache>
                <c:ptCount val="1"/>
                <c:pt idx="0">
                  <c:v>EV/SALES</c:v>
                </c:pt>
              </c:strCache>
            </c:strRef>
          </c:tx>
          <c:spPr>
            <a:solidFill>
              <a:schemeClr val="accent3"/>
            </a:solidFill>
            <a:ln>
              <a:noFill/>
            </a:ln>
            <a:effectLst/>
          </c:spPr>
          <c:invertIfNegative val="0"/>
          <c:val>
            <c:numRef>
              <c:f>Teaser!$C$24:$H$24</c:f>
              <c:numCache>
                <c:formatCode>0.00</c:formatCode>
                <c:ptCount val="6"/>
                <c:pt idx="1">
                  <c:v>6.9853945855549409</c:v>
                </c:pt>
                <c:pt idx="2">
                  <c:v>3.8647610437416611</c:v>
                </c:pt>
                <c:pt idx="3">
                  <c:v>5.0297620278759867</c:v>
                </c:pt>
                <c:pt idx="4">
                  <c:v>4.7024575798579722</c:v>
                </c:pt>
                <c:pt idx="5">
                  <c:v>6.2309648341213917</c:v>
                </c:pt>
              </c:numCache>
            </c:numRef>
          </c:val>
          <c:extLst>
            <c:ext xmlns:c16="http://schemas.microsoft.com/office/drawing/2014/chart" uri="{C3380CC4-5D6E-409C-BE32-E72D297353CC}">
              <c16:uniqueId val="{00000002-998F-48A4-ACBF-4A9D8DD50CF1}"/>
            </c:ext>
          </c:extLst>
        </c:ser>
        <c:ser>
          <c:idx val="3"/>
          <c:order val="3"/>
          <c:tx>
            <c:strRef>
              <c:f>Teaser!$B$25</c:f>
              <c:strCache>
                <c:ptCount val="1"/>
                <c:pt idx="0">
                  <c:v>Price-to-book value</c:v>
                </c:pt>
              </c:strCache>
            </c:strRef>
          </c:tx>
          <c:spPr>
            <a:solidFill>
              <a:schemeClr val="accent4"/>
            </a:solidFill>
            <a:ln>
              <a:noFill/>
            </a:ln>
            <a:effectLst/>
          </c:spPr>
          <c:invertIfNegative val="0"/>
          <c:val>
            <c:numRef>
              <c:f>Teaser!$C$25:$H$25</c:f>
              <c:numCache>
                <c:formatCode>_(* #,##0.00_);_(* \(#,##0.00\);_(* "-"??_);_(@_)</c:formatCode>
                <c:ptCount val="6"/>
                <c:pt idx="1">
                  <c:v>5.7755936021908356</c:v>
                </c:pt>
                <c:pt idx="2">
                  <c:v>3.0309955255796939</c:v>
                </c:pt>
                <c:pt idx="3">
                  <c:v>4.177629728170289</c:v>
                </c:pt>
                <c:pt idx="4">
                  <c:v>4.6360677966753006</c:v>
                </c:pt>
                <c:pt idx="5">
                  <c:v>6.4604510488428497</c:v>
                </c:pt>
              </c:numCache>
            </c:numRef>
          </c:val>
          <c:extLst>
            <c:ext xmlns:c16="http://schemas.microsoft.com/office/drawing/2014/chart" uri="{C3380CC4-5D6E-409C-BE32-E72D297353CC}">
              <c16:uniqueId val="{00000003-998F-48A4-ACBF-4A9D8DD50CF1}"/>
            </c:ext>
          </c:extLst>
        </c:ser>
        <c:ser>
          <c:idx val="4"/>
          <c:order val="4"/>
          <c:tx>
            <c:strRef>
              <c:f>Teaser!$B$26</c:f>
              <c:strCache>
                <c:ptCount val="1"/>
                <c:pt idx="0">
                  <c:v>Return-on-equity</c:v>
                </c:pt>
              </c:strCache>
            </c:strRef>
          </c:tx>
          <c:spPr>
            <a:solidFill>
              <a:schemeClr val="accent5"/>
            </a:solidFill>
            <a:ln>
              <a:noFill/>
            </a:ln>
            <a:effectLst/>
          </c:spPr>
          <c:invertIfNegative val="0"/>
          <c:val>
            <c:numRef>
              <c:f>Teaser!$C$26:$H$26</c:f>
              <c:numCache>
                <c:formatCode>0%</c:formatCode>
                <c:ptCount val="6"/>
                <c:pt idx="1">
                  <c:v>0.21292094620860327</c:v>
                </c:pt>
                <c:pt idx="2">
                  <c:v>0.23449464604648212</c:v>
                </c:pt>
                <c:pt idx="3">
                  <c:v>0.21809063995198466</c:v>
                </c:pt>
                <c:pt idx="4">
                  <c:v>0.24405605456807136</c:v>
                </c:pt>
                <c:pt idx="5">
                  <c:v>0.2775155497933201</c:v>
                </c:pt>
              </c:numCache>
            </c:numRef>
          </c:val>
          <c:extLst>
            <c:ext xmlns:c16="http://schemas.microsoft.com/office/drawing/2014/chart" uri="{C3380CC4-5D6E-409C-BE32-E72D297353CC}">
              <c16:uniqueId val="{00000004-998F-48A4-ACBF-4A9D8DD50CF1}"/>
            </c:ext>
          </c:extLst>
        </c:ser>
        <c:dLbls>
          <c:showLegendKey val="0"/>
          <c:showVal val="0"/>
          <c:showCatName val="0"/>
          <c:showSerName val="0"/>
          <c:showPercent val="0"/>
          <c:showBubbleSize val="0"/>
        </c:dLbls>
        <c:gapWidth val="219"/>
        <c:overlap val="-27"/>
        <c:axId val="1774330448"/>
        <c:axId val="1774315568"/>
      </c:barChart>
      <c:lineChart>
        <c:grouping val="standard"/>
        <c:varyColors val="0"/>
        <c:ser>
          <c:idx val="5"/>
          <c:order val="5"/>
          <c:tx>
            <c:strRef>
              <c:f>Teaser!$B$27</c:f>
              <c:strCache>
                <c:ptCount val="1"/>
                <c:pt idx="0">
                  <c:v>Return-on-capital employed</c:v>
                </c:pt>
              </c:strCache>
            </c:strRef>
          </c:tx>
          <c:spPr>
            <a:ln w="28575" cap="rnd">
              <a:solidFill>
                <a:schemeClr val="accent6"/>
              </a:solidFill>
              <a:round/>
            </a:ln>
            <a:effectLst/>
          </c:spPr>
          <c:marker>
            <c:symbol val="none"/>
          </c:marker>
          <c:val>
            <c:numRef>
              <c:f>Teaser!$C$27:$H$27</c:f>
              <c:numCache>
                <c:formatCode>0%</c:formatCode>
                <c:ptCount val="6"/>
                <c:pt idx="1">
                  <c:v>0.34415687544012852</c:v>
                </c:pt>
                <c:pt idx="2">
                  <c:v>0.32261652337652486</c:v>
                </c:pt>
                <c:pt idx="3">
                  <c:v>0.28527066262298589</c:v>
                </c:pt>
                <c:pt idx="4">
                  <c:v>0.33733252742915004</c:v>
                </c:pt>
                <c:pt idx="5">
                  <c:v>0.39333609298769096</c:v>
                </c:pt>
              </c:numCache>
            </c:numRef>
          </c:val>
          <c:smooth val="0"/>
          <c:extLst>
            <c:ext xmlns:c16="http://schemas.microsoft.com/office/drawing/2014/chart" uri="{C3380CC4-5D6E-409C-BE32-E72D297353CC}">
              <c16:uniqueId val="{00000005-998F-48A4-ACBF-4A9D8DD50CF1}"/>
            </c:ext>
          </c:extLst>
        </c:ser>
        <c:dLbls>
          <c:showLegendKey val="0"/>
          <c:showVal val="0"/>
          <c:showCatName val="0"/>
          <c:showSerName val="0"/>
          <c:showPercent val="0"/>
          <c:showBubbleSize val="0"/>
        </c:dLbls>
        <c:marker val="1"/>
        <c:smooth val="0"/>
        <c:axId val="1774317968"/>
        <c:axId val="1774325648"/>
      </c:lineChart>
      <c:catAx>
        <c:axId val="1774330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15568"/>
        <c:crosses val="autoZero"/>
        <c:auto val="1"/>
        <c:lblAlgn val="ctr"/>
        <c:lblOffset val="100"/>
        <c:noMultiLvlLbl val="0"/>
      </c:catAx>
      <c:valAx>
        <c:axId val="1774315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30448"/>
        <c:crosses val="autoZero"/>
        <c:crossBetween val="between"/>
      </c:valAx>
      <c:valAx>
        <c:axId val="1774325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17968"/>
        <c:crosses val="max"/>
        <c:crossBetween val="between"/>
      </c:valAx>
      <c:catAx>
        <c:axId val="1774317968"/>
        <c:scaling>
          <c:orientation val="minMax"/>
        </c:scaling>
        <c:delete val="0"/>
        <c:axPos val="t"/>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25648"/>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lumMod val="95000"/>
                <a:lumOff val="5000"/>
              </a:schemeClr>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CE70-4AA6-AFFE-B935AB207079}"/>
              </c:ext>
            </c:extLst>
          </c:dPt>
          <c:dPt>
            <c:idx val="1"/>
            <c:invertIfNegative val="0"/>
            <c:bubble3D val="0"/>
            <c:spPr>
              <a:solidFill>
                <a:srgbClr val="0070C0"/>
              </a:solidFill>
              <a:ln>
                <a:noFill/>
              </a:ln>
              <a:effectLst/>
            </c:spPr>
            <c:extLst>
              <c:ext xmlns:c16="http://schemas.microsoft.com/office/drawing/2014/chart" uri="{C3380CC4-5D6E-409C-BE32-E72D297353CC}">
                <c16:uniqueId val="{00000001-CE70-4AA6-AFFE-B935AB207079}"/>
              </c:ext>
            </c:extLst>
          </c:dPt>
          <c:dPt>
            <c:idx val="2"/>
            <c:invertIfNegative val="0"/>
            <c:bubble3D val="0"/>
            <c:spPr>
              <a:solidFill>
                <a:srgbClr val="00B0F0"/>
              </a:solidFill>
              <a:ln>
                <a:noFill/>
              </a:ln>
              <a:effectLst/>
            </c:spPr>
            <c:extLst>
              <c:ext xmlns:c16="http://schemas.microsoft.com/office/drawing/2014/chart" uri="{C3380CC4-5D6E-409C-BE32-E72D297353CC}">
                <c16:uniqueId val="{00000002-CE70-4AA6-AFFE-B935AB2070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'Profit-Loss'!$A$50:$A$52</c:f>
              <c:strCache>
                <c:ptCount val="3"/>
                <c:pt idx="0">
                  <c:v>Fills</c:v>
                </c:pt>
                <c:pt idx="1">
                  <c:v>Dills</c:v>
                </c:pt>
                <c:pt idx="2">
                  <c:v>Public</c:v>
                </c:pt>
              </c:strCache>
            </c:strRef>
          </c:cat>
          <c:val>
            <c:numRef>
              <c:f>'Profit-Loss'!$B$50:$B$52</c:f>
              <c:numCache>
                <c:formatCode>0%</c:formatCode>
                <c:ptCount val="3"/>
                <c:pt idx="0">
                  <c:v>0.36109999999999998</c:v>
                </c:pt>
                <c:pt idx="1">
                  <c:v>0.48899999999999999</c:v>
                </c:pt>
                <c:pt idx="2">
                  <c:v>0.14949999999999999</c:v>
                </c:pt>
              </c:numCache>
            </c:numRef>
          </c:val>
          <c:extLst>
            <c:ext xmlns:c16="http://schemas.microsoft.com/office/drawing/2014/chart" uri="{C3380CC4-5D6E-409C-BE32-E72D297353CC}">
              <c16:uniqueId val="{00000000-CE70-4AA6-AFFE-B935AB207079}"/>
            </c:ext>
          </c:extLst>
        </c:ser>
        <c:dLbls>
          <c:dLblPos val="outEnd"/>
          <c:showLegendKey val="0"/>
          <c:showVal val="1"/>
          <c:showCatName val="0"/>
          <c:showSerName val="0"/>
          <c:showPercent val="0"/>
          <c:showBubbleSize val="0"/>
        </c:dLbls>
        <c:gapWidth val="182"/>
        <c:axId val="1774281968"/>
        <c:axId val="1774284848"/>
      </c:barChart>
      <c:catAx>
        <c:axId val="17742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4848"/>
        <c:crosses val="autoZero"/>
        <c:auto val="1"/>
        <c:lblAlgn val="ctr"/>
        <c:lblOffset val="100"/>
        <c:noMultiLvlLbl val="0"/>
      </c:catAx>
      <c:valAx>
        <c:axId val="17742848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19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'Profit-Loss'!$A$50:$A$52</c:f>
              <c:strCache>
                <c:ptCount val="3"/>
                <c:pt idx="0">
                  <c:v>Fills</c:v>
                </c:pt>
                <c:pt idx="1">
                  <c:v>Dills</c:v>
                </c:pt>
                <c:pt idx="2">
                  <c:v>Public</c:v>
                </c:pt>
              </c:strCache>
            </c:strRef>
          </c:cat>
          <c:val>
            <c:numRef>
              <c:f>'Profit-Loss'!$B$50:$B$52</c:f>
              <c:numCache>
                <c:formatCode>0%</c:formatCode>
                <c:ptCount val="3"/>
                <c:pt idx="0">
                  <c:v>0.36109999999999998</c:v>
                </c:pt>
                <c:pt idx="1">
                  <c:v>0.48899999999999999</c:v>
                </c:pt>
                <c:pt idx="2">
                  <c:v>0.14949999999999999</c:v>
                </c:pt>
              </c:numCache>
            </c:numRef>
          </c:val>
          <c:extLst>
            <c:ext xmlns:c16="http://schemas.microsoft.com/office/drawing/2014/chart" uri="{C3380CC4-5D6E-409C-BE32-E72D297353CC}">
              <c16:uniqueId val="{00000000-A243-48F8-AEA3-05FD3DD9C001}"/>
            </c:ext>
          </c:extLst>
        </c:ser>
        <c:dLbls>
          <c:showLegendKey val="0"/>
          <c:showVal val="0"/>
          <c:showCatName val="0"/>
          <c:showSerName val="0"/>
          <c:showPercent val="0"/>
          <c:showBubbleSize val="0"/>
        </c:dLbls>
        <c:gapWidth val="182"/>
        <c:axId val="1774281968"/>
        <c:axId val="1774284848"/>
      </c:barChart>
      <c:catAx>
        <c:axId val="17742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4848"/>
        <c:crosses val="autoZero"/>
        <c:auto val="1"/>
        <c:lblAlgn val="ctr"/>
        <c:lblOffset val="100"/>
        <c:noMultiLvlLbl val="0"/>
      </c:catAx>
      <c:valAx>
        <c:axId val="17742848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196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3</xdr:row>
      <xdr:rowOff>152400</xdr:rowOff>
    </xdr:from>
    <xdr:to>
      <xdr:col>1</xdr:col>
      <xdr:colOff>1713492</xdr:colOff>
      <xdr:row>3</xdr:row>
      <xdr:rowOff>996950</xdr:rowOff>
    </xdr:to>
    <xdr:pic>
      <xdr:nvPicPr>
        <xdr:cNvPr id="3" name="Picture 2">
          <a:extLst>
            <a:ext uri="{FF2B5EF4-FFF2-40B4-BE49-F238E27FC236}">
              <a16:creationId xmlns:a16="http://schemas.microsoft.com/office/drawing/2014/main" id="{E0C81977-C0E6-EA9C-8BAA-749CC360C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649" y="716844"/>
          <a:ext cx="1599192" cy="844550"/>
        </a:xfrm>
        <a:prstGeom prst="rect">
          <a:avLst/>
        </a:prstGeom>
      </xdr:spPr>
    </xdr:pic>
    <xdr:clientData/>
  </xdr:twoCellAnchor>
  <xdr:twoCellAnchor>
    <xdr:from>
      <xdr:col>8</xdr:col>
      <xdr:colOff>127000</xdr:colOff>
      <xdr:row>8</xdr:row>
      <xdr:rowOff>12700</xdr:rowOff>
    </xdr:from>
    <xdr:to>
      <xdr:col>11</xdr:col>
      <xdr:colOff>812800</xdr:colOff>
      <xdr:row>16</xdr:row>
      <xdr:rowOff>0</xdr:rowOff>
    </xdr:to>
    <xdr:graphicFrame macro="">
      <xdr:nvGraphicFramePr>
        <xdr:cNvPr id="4" name="Chart 3">
          <a:extLst>
            <a:ext uri="{FF2B5EF4-FFF2-40B4-BE49-F238E27FC236}">
              <a16:creationId xmlns:a16="http://schemas.microsoft.com/office/drawing/2014/main" id="{46A78155-E45A-46BD-84B1-D169021CE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266700</xdr:colOff>
      <xdr:row>20</xdr:row>
      <xdr:rowOff>63500</xdr:rowOff>
    </xdr:from>
    <xdr:to>
      <xdr:col>12</xdr:col>
      <xdr:colOff>101600</xdr:colOff>
      <xdr:row>28</xdr:row>
      <xdr:rowOff>50800</xdr:rowOff>
    </xdr:to>
    <xdr:graphicFrame macro="">
      <xdr:nvGraphicFramePr>
        <xdr:cNvPr id="2" name="Chart 1">
          <a:extLst>
            <a:ext uri="{FF2B5EF4-FFF2-40B4-BE49-F238E27FC236}">
              <a16:creationId xmlns:a16="http://schemas.microsoft.com/office/drawing/2014/main" id="{63854E02-72E6-DEA1-91A8-237A8C817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904658</xdr:colOff>
      <xdr:row>31</xdr:row>
      <xdr:rowOff>34794</xdr:rowOff>
    </xdr:from>
    <xdr:to>
      <xdr:col>11</xdr:col>
      <xdr:colOff>956850</xdr:colOff>
      <xdr:row>40</xdr:row>
      <xdr:rowOff>26097</xdr:rowOff>
    </xdr:to>
    <xdr:graphicFrame macro="">
      <xdr:nvGraphicFramePr>
        <xdr:cNvPr id="5" name="Chart 4">
          <a:extLst>
            <a:ext uri="{FF2B5EF4-FFF2-40B4-BE49-F238E27FC236}">
              <a16:creationId xmlns:a16="http://schemas.microsoft.com/office/drawing/2014/main" id="{1BE4501D-5707-42AB-89E1-463E69596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441229</xdr:colOff>
      <xdr:row>49</xdr:row>
      <xdr:rowOff>76607</xdr:rowOff>
    </xdr:from>
    <xdr:to>
      <xdr:col>8</xdr:col>
      <xdr:colOff>213939</xdr:colOff>
      <xdr:row>64</xdr:row>
      <xdr:rowOff>41682</xdr:rowOff>
    </xdr:to>
    <xdr:graphicFrame macro="">
      <xdr:nvGraphicFramePr>
        <xdr:cNvPr id="2" name="Chart 1">
          <a:extLst>
            <a:ext uri="{FF2B5EF4-FFF2-40B4-BE49-F238E27FC236}">
              <a16:creationId xmlns:a16="http://schemas.microsoft.com/office/drawing/2014/main" id="{6BDFE603-792B-321C-5445-6FA509FD7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vesting.com/equities/icici-prudential-asset-management" TargetMode="External"/><Relationship Id="rId2" Type="http://schemas.openxmlformats.org/officeDocument/2006/relationships/hyperlink" Target="https://www.investing.com/equities/life-insurance" TargetMode="External"/><Relationship Id="rId1" Type="http://schemas.openxmlformats.org/officeDocument/2006/relationships/hyperlink" Target="https://www.investing.com/equities/british-american-tobacco"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investing.com/equities/reliance-nippon-lif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creener.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105F1-41C8-4F95-B10E-6D998F15776E}">
  <dimension ref="A3:L54"/>
  <sheetViews>
    <sheetView showGridLines="0" tabSelected="1" topLeftCell="B31" zoomScale="70" workbookViewId="0">
      <selection activeCell="B51" sqref="B51"/>
    </sheetView>
  </sheetViews>
  <sheetFormatPr defaultRowHeight="14.5" x14ac:dyDescent="0.35"/>
  <cols>
    <col min="1" max="1" width="2.453125" customWidth="1"/>
    <col min="2" max="2" width="54.36328125" customWidth="1"/>
    <col min="3" max="3" width="16.7265625" customWidth="1"/>
    <col min="4" max="4" width="17.54296875" customWidth="1"/>
    <col min="5" max="5" width="16.453125" customWidth="1"/>
    <col min="6" max="6" width="13.6328125" customWidth="1"/>
    <col min="7" max="7" width="14.1796875" customWidth="1"/>
    <col min="8" max="8" width="10.36328125" bestFit="1" customWidth="1"/>
    <col min="9" max="9" width="4.81640625" customWidth="1"/>
    <col min="10" max="10" width="17.90625" customWidth="1"/>
    <col min="11" max="11" width="10.08984375" customWidth="1"/>
    <col min="12" max="12" width="15.08984375" customWidth="1"/>
  </cols>
  <sheetData>
    <row r="3" spans="1:12" ht="15.5" x14ac:dyDescent="0.35">
      <c r="A3" s="27"/>
      <c r="B3" s="27"/>
      <c r="C3" s="24" t="s">
        <v>81</v>
      </c>
      <c r="D3" s="24"/>
      <c r="E3" s="24"/>
      <c r="F3" s="22"/>
      <c r="G3" s="22"/>
      <c r="H3" s="22"/>
      <c r="I3" s="22"/>
      <c r="J3" s="22"/>
      <c r="K3" s="22"/>
      <c r="L3" s="22"/>
    </row>
    <row r="4" spans="1:12" ht="80" customHeight="1" x14ac:dyDescent="0.35">
      <c r="E4" s="93" t="s">
        <v>82</v>
      </c>
      <c r="F4" s="93"/>
      <c r="G4" s="93"/>
      <c r="H4" s="93"/>
      <c r="I4" s="93"/>
    </row>
    <row r="5" spans="1:12" x14ac:dyDescent="0.35">
      <c r="B5" s="25"/>
      <c r="C5" s="26"/>
      <c r="D5" s="26"/>
      <c r="E5" s="26"/>
      <c r="F5" s="26"/>
      <c r="G5" s="26"/>
      <c r="H5" s="26"/>
      <c r="I5" s="26"/>
      <c r="J5" s="26"/>
      <c r="K5" s="26"/>
      <c r="L5" s="26"/>
    </row>
    <row r="7" spans="1:12" x14ac:dyDescent="0.35">
      <c r="A7" s="27"/>
      <c r="B7" s="28" t="s">
        <v>83</v>
      </c>
      <c r="C7" s="28"/>
      <c r="D7" s="29">
        <v>46100</v>
      </c>
      <c r="E7" s="29">
        <v>46101</v>
      </c>
      <c r="F7" s="29">
        <v>46102</v>
      </c>
      <c r="G7" s="29">
        <v>46103</v>
      </c>
      <c r="H7" s="29">
        <v>46104</v>
      </c>
      <c r="J7" s="23" t="s">
        <v>103</v>
      </c>
      <c r="K7" s="22"/>
      <c r="L7" s="22"/>
    </row>
    <row r="9" spans="1:12" x14ac:dyDescent="0.35">
      <c r="B9" s="72" t="s">
        <v>84</v>
      </c>
      <c r="C9" s="72"/>
      <c r="D9" s="75">
        <f>'Profit-Loss'!E4</f>
        <v>48339.58</v>
      </c>
      <c r="E9" s="75">
        <f>'Profit-Loss'!F4</f>
        <v>49387.7</v>
      </c>
      <c r="F9" s="75">
        <f>'Profit-Loss'!G4</f>
        <v>49257.45</v>
      </c>
      <c r="G9" s="75">
        <f>'Profit-Loss'!H4</f>
        <v>60644.54</v>
      </c>
      <c r="H9" s="75">
        <f>'Profit-Loss'!I4</f>
        <v>70919.03</v>
      </c>
    </row>
    <row r="10" spans="1:12" x14ac:dyDescent="0.35">
      <c r="B10" s="76" t="s">
        <v>85</v>
      </c>
      <c r="C10" s="72"/>
      <c r="D10" s="77">
        <f>'Data Sheet'!E34</f>
        <v>0.11256062863673999</v>
      </c>
      <c r="E10" s="77">
        <f>'Data Sheet'!F34</f>
        <v>2.1682439110972673E-2</v>
      </c>
      <c r="F10" s="77">
        <f>'Data Sheet'!G34</f>
        <v>-2.6372963308678443E-3</v>
      </c>
      <c r="G10" s="77">
        <f>'Data Sheet'!H34</f>
        <v>0.23117497962237188</v>
      </c>
      <c r="H10" s="77">
        <f>'Data Sheet'!I34</f>
        <v>0.1694215175842706</v>
      </c>
    </row>
    <row r="11" spans="1:12" x14ac:dyDescent="0.35">
      <c r="B11" s="72" t="s">
        <v>89</v>
      </c>
      <c r="C11" s="72"/>
      <c r="D11" s="78">
        <f>'Profit-Loss'!E30</f>
        <v>0.57706603987870819</v>
      </c>
      <c r="E11" s="78">
        <f>'Profit-Loss'!F30</f>
        <v>0.565866197454022</v>
      </c>
      <c r="F11" s="78">
        <f>'Profit-Loss'!G30</f>
        <v>0.51867747924425645</v>
      </c>
      <c r="G11" s="78">
        <f>'Profit-Loss'!H30</f>
        <v>0.49650026201864172</v>
      </c>
      <c r="H11" s="78">
        <f>'Profit-Loss'!I30</f>
        <v>0.53068887152009836</v>
      </c>
    </row>
    <row r="12" spans="1:12" x14ac:dyDescent="0.35">
      <c r="B12" s="72" t="s">
        <v>93</v>
      </c>
      <c r="C12" s="72"/>
      <c r="D12" s="78">
        <f>'Profit-Loss'!E31</f>
        <v>0.38348264507056129</v>
      </c>
      <c r="E12" s="78">
        <f>'Profit-Loss'!F31</f>
        <v>0.39166715599228147</v>
      </c>
      <c r="F12" s="78">
        <f>'Profit-Loss'!G31</f>
        <v>0.34644058919006154</v>
      </c>
      <c r="G12" s="78">
        <f>'Profit-Loss'!H31</f>
        <v>0.3400660636555245</v>
      </c>
      <c r="H12" s="78">
        <f>'Profit-Loss'!I31</f>
        <v>0.36244517162741785</v>
      </c>
    </row>
    <row r="13" spans="1:12" x14ac:dyDescent="0.35">
      <c r="B13" s="72" t="s">
        <v>92</v>
      </c>
      <c r="C13" s="72"/>
      <c r="D13" s="78">
        <f>'Profit-Loss'!E33</f>
        <v>0.35459099975630737</v>
      </c>
      <c r="E13" s="78">
        <f>'Profit-Loss'!F33</f>
        <v>0.35836108990700111</v>
      </c>
      <c r="F13" s="78">
        <f>'Profit-Loss'!G33</f>
        <v>0.31303264785326884</v>
      </c>
      <c r="G13" s="78">
        <f>'Profit-Loss'!H33</f>
        <v>0.3114994358931571</v>
      </c>
      <c r="H13" s="78">
        <f>'Profit-Loss'!I33</f>
        <v>0.33693706752616326</v>
      </c>
    </row>
    <row r="14" spans="1:12" x14ac:dyDescent="0.35">
      <c r="B14" s="72" t="s">
        <v>94</v>
      </c>
      <c r="C14" s="72"/>
      <c r="D14" s="78">
        <f>'Profit-Loss'!E34</f>
        <v>0.26049729848707825</v>
      </c>
      <c r="E14" s="78">
        <f>'Profit-Loss'!F34</f>
        <v>0.30991987883622846</v>
      </c>
      <c r="F14" s="78">
        <f>'Profit-Loss'!G34</f>
        <v>0.26719186640802561</v>
      </c>
      <c r="G14" s="78">
        <f>'Profit-Loss'!H34</f>
        <v>0.25134430898478244</v>
      </c>
      <c r="H14" s="78">
        <f>'Profit-Loss'!I34</f>
        <v>0.27061368436652333</v>
      </c>
    </row>
    <row r="15" spans="1:12" x14ac:dyDescent="0.35">
      <c r="B15" s="72" t="s">
        <v>48</v>
      </c>
      <c r="C15" s="72"/>
      <c r="D15" s="79">
        <f>'Profit-Loss'!E13</f>
        <v>10.272241528396393</v>
      </c>
      <c r="E15" s="79">
        <f>'Profit-Loss'!F13</f>
        <v>12.451985812141032</v>
      </c>
      <c r="F15" s="79">
        <f>'Profit-Loss'!G13</f>
        <v>10.692504549590536</v>
      </c>
      <c r="G15" s="79">
        <f>'Profit-Loss'!H13</f>
        <v>12.368975842509718</v>
      </c>
      <c r="H15" s="79">
        <f>'Profit-Loss'!I13</f>
        <v>15.442275506919859</v>
      </c>
    </row>
    <row r="16" spans="1:12" x14ac:dyDescent="0.35">
      <c r="B16" s="76" t="s">
        <v>96</v>
      </c>
      <c r="C16" s="72"/>
      <c r="D16" s="80">
        <f>'Profit-Loss'!E35</f>
        <v>0.11226415363943576</v>
      </c>
      <c r="E16" s="80">
        <f>'Profit-Loss'!F35</f>
        <v>0.21219753037533184</v>
      </c>
      <c r="F16" s="80">
        <f>'Profit-Loss'!G35</f>
        <v>-0.14130125821657724</v>
      </c>
      <c r="G16" s="80">
        <f>'Profit-Loss'!H35</f>
        <v>0.15678939252669122</v>
      </c>
      <c r="H16" s="80">
        <f>'Profit-Loss'!I35</f>
        <v>0.24846840219768396</v>
      </c>
    </row>
    <row r="17" spans="1:12" x14ac:dyDescent="0.35">
      <c r="B17" s="72" t="s">
        <v>98</v>
      </c>
      <c r="C17" s="72"/>
      <c r="D17" s="81">
        <f>'Profit-Loss'!B36</f>
        <v>5.666666666666667</v>
      </c>
      <c r="E17" s="81">
        <f>'Profit-Loss'!C36</f>
        <v>4.5085991851840328</v>
      </c>
      <c r="F17" s="81">
        <f>'Profit-Loss'!D36</f>
        <v>5.1499963127750057</v>
      </c>
      <c r="G17" s="81">
        <f>'Profit-Loss'!E36</f>
        <v>5.7500040787691908</v>
      </c>
      <c r="H17" s="81">
        <f>'Profit-Loss'!F36</f>
        <v>10.149997559427931</v>
      </c>
    </row>
    <row r="18" spans="1:12" x14ac:dyDescent="0.35">
      <c r="B18" s="76" t="s">
        <v>100</v>
      </c>
      <c r="C18" s="72"/>
      <c r="D18" s="78">
        <f>'Profit-Loss'!E37</f>
        <v>0.11650644574362401</v>
      </c>
      <c r="E18" s="78">
        <f>'Profit-Loss'!F37</f>
        <v>0.76521571469921024</v>
      </c>
      <c r="F18" s="78">
        <f>'Profit-Loss'!G37</f>
        <v>5.9113555156941722E-2</v>
      </c>
      <c r="G18" s="78">
        <f>'Profit-Loss'!H37</f>
        <v>6.9767819288815591E-2</v>
      </c>
      <c r="H18" s="78">
        <f>'Profit-Loss'!I37</f>
        <v>0.34782561142550739</v>
      </c>
    </row>
    <row r="20" spans="1:12" x14ac:dyDescent="0.35">
      <c r="A20" s="47"/>
      <c r="B20" s="28" t="s">
        <v>121</v>
      </c>
      <c r="C20" s="28"/>
      <c r="D20" s="29">
        <v>46100</v>
      </c>
      <c r="E20" s="29">
        <v>46101</v>
      </c>
      <c r="F20" s="29">
        <v>46102</v>
      </c>
      <c r="G20" s="29">
        <v>46103</v>
      </c>
      <c r="H20" s="29">
        <v>46104</v>
      </c>
      <c r="J20" s="23" t="s">
        <v>127</v>
      </c>
      <c r="K20" s="22"/>
      <c r="L20" s="22"/>
    </row>
    <row r="22" spans="1:12" x14ac:dyDescent="0.35">
      <c r="B22" s="72" t="s">
        <v>122</v>
      </c>
      <c r="C22" s="72"/>
      <c r="D22" s="82">
        <f>'Profit-Loss'!D14</f>
        <v>25.932729877918941</v>
      </c>
      <c r="E22" s="82">
        <f>'Profit-Loss'!E14</f>
        <v>27.125530414148926</v>
      </c>
      <c r="F22" s="82">
        <f>'Profit-Loss'!F14</f>
        <v>12.925649163771876</v>
      </c>
      <c r="G22" s="82">
        <f>'Profit-Loss'!G14</f>
        <v>19.155474664525016</v>
      </c>
      <c r="H22" s="82">
        <f>'Profit-Loss'!H14</f>
        <v>18.995913889045614</v>
      </c>
    </row>
    <row r="23" spans="1:12" x14ac:dyDescent="0.35">
      <c r="B23" s="72" t="s">
        <v>123</v>
      </c>
      <c r="C23" s="72"/>
      <c r="D23" s="82">
        <f>'Profit-Loss'!E45</f>
        <v>18.215673317549012</v>
      </c>
      <c r="E23" s="82">
        <f>'Profit-Loss'!F45</f>
        <v>9.8674626774623491</v>
      </c>
      <c r="F23" s="82">
        <f>'Profit-Loss'!G45</f>
        <v>14.518397049361321</v>
      </c>
      <c r="G23" s="82">
        <f>'Profit-Loss'!H45</f>
        <v>13.828070726343936</v>
      </c>
      <c r="H23" s="82">
        <f>'Profit-Loss'!I45</f>
        <v>17.19146872930791</v>
      </c>
    </row>
    <row r="24" spans="1:12" x14ac:dyDescent="0.35">
      <c r="B24" s="72" t="s">
        <v>118</v>
      </c>
      <c r="C24" s="72"/>
      <c r="D24" s="73">
        <f>'Profit-Loss'!E46</f>
        <v>6.9853945855549409</v>
      </c>
      <c r="E24" s="73">
        <f>'Profit-Loss'!F46</f>
        <v>3.8647610437416611</v>
      </c>
      <c r="F24" s="73">
        <f>'Profit-Loss'!G46</f>
        <v>5.0297620278759867</v>
      </c>
      <c r="G24" s="73">
        <f>'Profit-Loss'!H46</f>
        <v>4.7024575798579722</v>
      </c>
      <c r="H24" s="73">
        <f>'Profit-Loss'!I46</f>
        <v>6.2309648341213917</v>
      </c>
    </row>
    <row r="25" spans="1:12" x14ac:dyDescent="0.35">
      <c r="B25" s="72" t="s">
        <v>124</v>
      </c>
      <c r="C25" s="72"/>
      <c r="D25" s="83">
        <f>'Profit-Loss'!E48</f>
        <v>5.7755936021908356</v>
      </c>
      <c r="E25" s="83">
        <f>'Profit-Loss'!F48</f>
        <v>3.0309955255796939</v>
      </c>
      <c r="F25" s="83">
        <f>'Profit-Loss'!G48</f>
        <v>4.177629728170289</v>
      </c>
      <c r="G25" s="83">
        <f>'Profit-Loss'!H48</f>
        <v>4.6360677966753006</v>
      </c>
      <c r="H25" s="83">
        <f>'Profit-Loss'!I48</f>
        <v>6.4604510488428497</v>
      </c>
    </row>
    <row r="26" spans="1:12" x14ac:dyDescent="0.35">
      <c r="B26" s="72" t="s">
        <v>125</v>
      </c>
      <c r="C26" s="72"/>
      <c r="D26" s="84">
        <f>'Balance Sheet'!E23</f>
        <v>0.21292094620860327</v>
      </c>
      <c r="E26" s="84">
        <f>'Balance Sheet'!F23</f>
        <v>0.23449464604648212</v>
      </c>
      <c r="F26" s="84">
        <f>'Balance Sheet'!G23</f>
        <v>0.21809063995198466</v>
      </c>
      <c r="G26" s="84">
        <f>'Balance Sheet'!H23</f>
        <v>0.24405605456807136</v>
      </c>
      <c r="H26" s="84">
        <f>'Balance Sheet'!I23</f>
        <v>0.2775155497933201</v>
      </c>
    </row>
    <row r="27" spans="1:12" x14ac:dyDescent="0.35">
      <c r="B27" s="72" t="s">
        <v>126</v>
      </c>
      <c r="C27" s="72"/>
      <c r="D27" s="85">
        <f>'Balance Sheet'!E24</f>
        <v>0.34415687544012852</v>
      </c>
      <c r="E27" s="85">
        <f>'Balance Sheet'!F24</f>
        <v>0.32261652337652486</v>
      </c>
      <c r="F27" s="85">
        <f>'Balance Sheet'!G24</f>
        <v>0.28527066262298589</v>
      </c>
      <c r="G27" s="85">
        <f>'Balance Sheet'!H24</f>
        <v>0.33733252742915004</v>
      </c>
      <c r="H27" s="85">
        <f>'Balance Sheet'!I24</f>
        <v>0.39333609298769096</v>
      </c>
    </row>
    <row r="28" spans="1:12" x14ac:dyDescent="0.35">
      <c r="B28" s="72"/>
      <c r="C28" s="72"/>
      <c r="D28" s="72"/>
      <c r="E28" s="72"/>
      <c r="F28" s="72"/>
      <c r="G28" s="72"/>
      <c r="H28" s="72"/>
    </row>
    <row r="30" spans="1:12" ht="16.5" x14ac:dyDescent="0.35">
      <c r="A30" s="22"/>
      <c r="B30" s="23" t="s">
        <v>139</v>
      </c>
      <c r="C30" s="52" t="s">
        <v>128</v>
      </c>
      <c r="D30" s="52" t="s">
        <v>129</v>
      </c>
      <c r="E30" s="52" t="s">
        <v>140</v>
      </c>
      <c r="G30" s="71" t="s">
        <v>144</v>
      </c>
      <c r="H30" s="22"/>
      <c r="I30" s="22"/>
      <c r="J30" s="22"/>
      <c r="K30" s="22"/>
      <c r="L30" s="22"/>
    </row>
    <row r="31" spans="1:12" x14ac:dyDescent="0.35">
      <c r="B31" s="51"/>
    </row>
    <row r="32" spans="1:12" ht="16.5" x14ac:dyDescent="0.35">
      <c r="A32" s="72"/>
      <c r="B32" s="86" t="s">
        <v>130</v>
      </c>
      <c r="C32" s="87">
        <v>0.19020000000000001</v>
      </c>
      <c r="D32" s="88">
        <v>2383450753</v>
      </c>
      <c r="E32" s="89">
        <v>738154698</v>
      </c>
    </row>
    <row r="33" spans="1:12" ht="16.5" x14ac:dyDescent="0.35">
      <c r="A33" s="72"/>
      <c r="B33" s="86" t="s">
        <v>131</v>
      </c>
      <c r="C33" s="87">
        <v>0.155</v>
      </c>
      <c r="D33" s="88">
        <v>1941750542</v>
      </c>
      <c r="E33" s="89">
        <v>601360143</v>
      </c>
    </row>
    <row r="34" spans="1:12" ht="16.5" x14ac:dyDescent="0.35">
      <c r="A34" s="72"/>
      <c r="B34" s="90" t="s">
        <v>132</v>
      </c>
      <c r="C34" s="87">
        <v>7.7799999999999994E-2</v>
      </c>
      <c r="D34" s="88">
        <v>974531427</v>
      </c>
      <c r="E34" s="89">
        <v>301812383</v>
      </c>
    </row>
    <row r="35" spans="1:12" ht="16.5" x14ac:dyDescent="0.35">
      <c r="A35" s="72"/>
      <c r="B35" s="90" t="s">
        <v>133</v>
      </c>
      <c r="C35" s="87">
        <v>3.8800000000000001E-2</v>
      </c>
      <c r="D35" s="88">
        <v>486311940</v>
      </c>
      <c r="E35" s="89">
        <v>150610808</v>
      </c>
    </row>
    <row r="36" spans="1:12" ht="16.5" x14ac:dyDescent="0.35">
      <c r="A36" s="72"/>
      <c r="B36" s="86" t="s">
        <v>134</v>
      </c>
      <c r="C36" s="87">
        <v>3.1300000000000001E-2</v>
      </c>
      <c r="D36" s="88">
        <v>392546212</v>
      </c>
      <c r="E36" s="89">
        <v>121571562</v>
      </c>
    </row>
    <row r="37" spans="1:12" ht="16.5" x14ac:dyDescent="0.35">
      <c r="A37" s="72"/>
      <c r="B37" s="90" t="s">
        <v>135</v>
      </c>
      <c r="C37" s="87">
        <v>3.0800000000000001E-2</v>
      </c>
      <c r="D37" s="88">
        <v>385750391</v>
      </c>
      <c r="E37" s="89">
        <v>119466896</v>
      </c>
    </row>
    <row r="38" spans="1:12" ht="16.5" x14ac:dyDescent="0.35">
      <c r="A38" s="72"/>
      <c r="B38" s="90" t="s">
        <v>136</v>
      </c>
      <c r="C38" s="87">
        <v>2.5100000000000001E-2</v>
      </c>
      <c r="D38" s="88">
        <v>313942371</v>
      </c>
      <c r="E38" s="89">
        <v>97227952</v>
      </c>
    </row>
    <row r="39" spans="1:12" ht="16.5" x14ac:dyDescent="0.35">
      <c r="A39" s="72"/>
      <c r="B39" s="90" t="s">
        <v>137</v>
      </c>
      <c r="C39" s="87">
        <v>1.7299999999999999E-2</v>
      </c>
      <c r="D39" s="88">
        <v>216985508</v>
      </c>
      <c r="E39" s="89">
        <v>67200412</v>
      </c>
    </row>
    <row r="40" spans="1:12" ht="16.5" x14ac:dyDescent="0.35">
      <c r="A40" s="72"/>
      <c r="B40" s="86" t="s">
        <v>138</v>
      </c>
      <c r="C40" s="87">
        <v>1.4500000000000001E-2</v>
      </c>
      <c r="D40" s="88">
        <v>181206948</v>
      </c>
      <c r="E40" s="89">
        <v>56119792</v>
      </c>
    </row>
    <row r="41" spans="1:12" x14ac:dyDescent="0.35">
      <c r="A41" s="72"/>
      <c r="B41" s="72"/>
      <c r="C41" s="72"/>
      <c r="D41" s="72"/>
      <c r="E41" s="72"/>
    </row>
    <row r="43" spans="1:12" x14ac:dyDescent="0.35">
      <c r="B43" s="23" t="s">
        <v>184</v>
      </c>
      <c r="C43" s="23" t="s">
        <v>185</v>
      </c>
      <c r="D43" s="23" t="s">
        <v>186</v>
      </c>
      <c r="E43" s="23" t="s">
        <v>187</v>
      </c>
      <c r="G43" s="71" t="s">
        <v>145</v>
      </c>
      <c r="H43" s="22"/>
      <c r="I43" s="22"/>
      <c r="J43" s="22"/>
      <c r="K43" s="22"/>
      <c r="L43" s="22"/>
    </row>
    <row r="45" spans="1:12" x14ac:dyDescent="0.35">
      <c r="A45" s="72"/>
      <c r="B45" s="72" t="s">
        <v>188</v>
      </c>
      <c r="C45" s="72" t="s">
        <v>189</v>
      </c>
      <c r="D45" s="72">
        <v>2566</v>
      </c>
      <c r="E45" s="73" t="s">
        <v>194</v>
      </c>
      <c r="G45" s="91" t="s">
        <v>183</v>
      </c>
      <c r="H45" s="91"/>
      <c r="I45" s="91"/>
      <c r="J45" s="92">
        <f>WACC!E41+WACC!D50</f>
        <v>232273.52120479298</v>
      </c>
      <c r="K45" s="72"/>
    </row>
    <row r="46" spans="1:12" x14ac:dyDescent="0.35">
      <c r="A46" s="72"/>
      <c r="B46" s="72" t="s">
        <v>191</v>
      </c>
      <c r="C46" s="72" t="s">
        <v>190</v>
      </c>
      <c r="D46" s="72">
        <v>853</v>
      </c>
      <c r="E46" s="74" t="s">
        <v>195</v>
      </c>
      <c r="G46" s="72" t="s">
        <v>176</v>
      </c>
      <c r="H46" s="72"/>
      <c r="I46" s="72"/>
      <c r="J46" s="72">
        <f>'Data Sheet'!J69</f>
        <v>7217.68</v>
      </c>
      <c r="K46" s="72"/>
    </row>
    <row r="47" spans="1:12" x14ac:dyDescent="0.35">
      <c r="A47" s="72"/>
      <c r="B47" s="72" t="s">
        <v>192</v>
      </c>
      <c r="C47" s="72" t="s">
        <v>190</v>
      </c>
      <c r="D47" s="72">
        <v>494</v>
      </c>
      <c r="E47" s="74" t="s">
        <v>196</v>
      </c>
      <c r="G47" s="72" t="s">
        <v>177</v>
      </c>
      <c r="H47" s="72"/>
      <c r="I47" s="72"/>
      <c r="J47" s="72">
        <f>WACC!D23</f>
        <v>500</v>
      </c>
      <c r="K47" s="72"/>
    </row>
    <row r="48" spans="1:12" x14ac:dyDescent="0.35">
      <c r="A48" s="72"/>
      <c r="B48" s="72" t="s">
        <v>193</v>
      </c>
      <c r="C48" s="72" t="s">
        <v>190</v>
      </c>
      <c r="D48" s="72">
        <v>1181.4000000000001</v>
      </c>
      <c r="E48" s="74" t="s">
        <v>197</v>
      </c>
      <c r="G48" s="91" t="s">
        <v>178</v>
      </c>
      <c r="H48" s="91"/>
      <c r="I48" s="91"/>
      <c r="J48" s="92">
        <f>J45+J46-J47</f>
        <v>238991.20120479297</v>
      </c>
      <c r="K48" s="72"/>
    </row>
    <row r="49" spans="7:12" x14ac:dyDescent="0.35">
      <c r="G49" s="72"/>
      <c r="H49" s="72"/>
      <c r="I49" s="72"/>
      <c r="J49" s="72"/>
      <c r="K49" s="72"/>
    </row>
    <row r="50" spans="7:12" x14ac:dyDescent="0.35">
      <c r="G50" s="72"/>
      <c r="H50" s="72"/>
      <c r="I50" s="72"/>
      <c r="J50" s="72"/>
      <c r="K50" s="72"/>
    </row>
    <row r="51" spans="7:12" x14ac:dyDescent="0.35">
      <c r="G51" s="72" t="s">
        <v>179</v>
      </c>
      <c r="H51" s="72"/>
      <c r="I51" s="72"/>
      <c r="J51" s="81">
        <f>Teaser!J45/'Data Sheet'!B6</f>
        <v>185.385322986625</v>
      </c>
      <c r="K51" s="72"/>
    </row>
    <row r="52" spans="7:12" x14ac:dyDescent="0.35">
      <c r="G52" s="72" t="s">
        <v>43</v>
      </c>
      <c r="H52" s="72"/>
      <c r="I52" s="72"/>
      <c r="J52" s="72">
        <f>'Data Sheet'!B8</f>
        <v>309.7</v>
      </c>
      <c r="K52" s="72"/>
    </row>
    <row r="53" spans="7:12" x14ac:dyDescent="0.35">
      <c r="G53" s="72" t="s">
        <v>180</v>
      </c>
      <c r="H53" s="72"/>
      <c r="I53" s="72"/>
      <c r="J53" s="81">
        <f>(J51-J52)/J52</f>
        <v>-0.40140354218073943</v>
      </c>
      <c r="K53" s="72"/>
    </row>
    <row r="54" spans="7:12" x14ac:dyDescent="0.35">
      <c r="G54" s="23" t="s">
        <v>181</v>
      </c>
      <c r="H54" s="22"/>
      <c r="I54" s="22"/>
      <c r="J54" s="70" t="s">
        <v>182</v>
      </c>
      <c r="K54" s="22"/>
      <c r="L54" s="22"/>
    </row>
  </sheetData>
  <mergeCells count="1">
    <mergeCell ref="E4:I4"/>
  </mergeCells>
  <hyperlinks>
    <hyperlink ref="B32" r:id="rId1" display="https://www.investing.com/equities/british-american-tobacco" xr:uid="{DC79ED43-841C-440F-AAFE-4237FC120A8D}"/>
    <hyperlink ref="B33" r:id="rId2" display="https://www.investing.com/equities/life-insurance" xr:uid="{96102C42-1141-43BC-B237-D47F845DD8D7}"/>
    <hyperlink ref="B36" r:id="rId3" display="https://www.investing.com/equities/icici-prudential-asset-management" xr:uid="{DF0A31DA-DA03-4ECF-97C6-B7E429DF3E39}"/>
    <hyperlink ref="B40" r:id="rId4" display="https://www.investing.com/equities/reliance-nippon-life" xr:uid="{00226DFE-7BD8-4D31-B7FF-620CAECDB5B3}"/>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660DE-E3AE-4569-9DF7-7D629B1CF65B}">
  <dimension ref="A4:P63"/>
  <sheetViews>
    <sheetView showGridLines="0" topLeftCell="A42" zoomScale="70" workbookViewId="0">
      <selection activeCell="E39" sqref="E39"/>
    </sheetView>
  </sheetViews>
  <sheetFormatPr defaultRowHeight="14.5" x14ac:dyDescent="0.35"/>
  <cols>
    <col min="1" max="1" width="12.36328125" customWidth="1"/>
    <col min="2" max="2" width="12" customWidth="1"/>
    <col min="4" max="4" width="12.6328125" customWidth="1"/>
    <col min="5" max="5" width="15.453125" customWidth="1"/>
    <col min="7" max="7" width="13.1796875" customWidth="1"/>
    <col min="12" max="12" width="16" customWidth="1"/>
    <col min="13" max="13" width="18.1796875" customWidth="1"/>
    <col min="14" max="14" width="15.453125" customWidth="1"/>
    <col min="15" max="15" width="12" customWidth="1"/>
    <col min="16" max="16" width="11.453125" customWidth="1"/>
  </cols>
  <sheetData>
    <row r="4" spans="1:14" x14ac:dyDescent="0.35">
      <c r="A4" t="s">
        <v>110</v>
      </c>
      <c r="B4">
        <v>0.52</v>
      </c>
    </row>
    <row r="8" spans="1:14" x14ac:dyDescent="0.35">
      <c r="B8" s="57" t="s">
        <v>111</v>
      </c>
      <c r="C8" s="53"/>
      <c r="D8" s="53"/>
      <c r="E8" s="53"/>
      <c r="J8" s="57" t="s">
        <v>112</v>
      </c>
      <c r="K8" s="53"/>
      <c r="L8" s="53"/>
      <c r="M8" s="53"/>
      <c r="N8" s="53"/>
    </row>
    <row r="10" spans="1:14" x14ac:dyDescent="0.35">
      <c r="B10" t="s">
        <v>147</v>
      </c>
      <c r="E10" s="63">
        <v>7.4999999999999997E-2</v>
      </c>
      <c r="J10" t="s">
        <v>150</v>
      </c>
      <c r="M10" s="63">
        <v>7.0000000000000007E-2</v>
      </c>
    </row>
    <row r="11" spans="1:14" x14ac:dyDescent="0.35">
      <c r="B11" t="s">
        <v>148</v>
      </c>
      <c r="E11" s="63">
        <v>0.25169999999999998</v>
      </c>
      <c r="J11" t="s">
        <v>151</v>
      </c>
      <c r="M11" s="63">
        <v>0.08</v>
      </c>
    </row>
    <row r="12" spans="1:14" x14ac:dyDescent="0.35">
      <c r="B12" s="58" t="s">
        <v>149</v>
      </c>
      <c r="C12" s="54"/>
      <c r="D12" s="54"/>
      <c r="E12" s="56">
        <f>E10*(1-E11)</f>
        <v>5.6122499999999999E-2</v>
      </c>
      <c r="J12" t="s">
        <v>152</v>
      </c>
      <c r="M12">
        <f>B4</f>
        <v>0.52</v>
      </c>
    </row>
    <row r="13" spans="1:14" x14ac:dyDescent="0.35">
      <c r="J13" s="54"/>
      <c r="K13" s="54"/>
      <c r="L13" s="54"/>
      <c r="M13" s="54"/>
      <c r="N13" s="54"/>
    </row>
    <row r="14" spans="1:14" x14ac:dyDescent="0.35">
      <c r="J14" s="2" t="s">
        <v>112</v>
      </c>
      <c r="M14" s="5">
        <f>M10+(M12*M11)</f>
        <v>0.1116</v>
      </c>
    </row>
    <row r="20" spans="2:15" x14ac:dyDescent="0.35">
      <c r="B20" s="57" t="s">
        <v>145</v>
      </c>
      <c r="C20" s="53"/>
      <c r="D20" s="53"/>
      <c r="E20" s="62"/>
      <c r="F20" s="53"/>
      <c r="G20" s="53"/>
      <c r="J20" s="57" t="s">
        <v>158</v>
      </c>
      <c r="K20" s="57"/>
      <c r="L20" s="57"/>
      <c r="M20" s="57"/>
      <c r="N20" s="53"/>
      <c r="O20" s="53"/>
    </row>
    <row r="21" spans="2:15" x14ac:dyDescent="0.35">
      <c r="D21" s="19"/>
    </row>
    <row r="22" spans="2:15" x14ac:dyDescent="0.35">
      <c r="E22" s="59" t="s">
        <v>154</v>
      </c>
      <c r="G22" t="s">
        <v>156</v>
      </c>
      <c r="J22" t="s">
        <v>112</v>
      </c>
      <c r="M22" s="5">
        <f>M14</f>
        <v>0.1116</v>
      </c>
    </row>
    <row r="23" spans="2:15" x14ac:dyDescent="0.35">
      <c r="B23" t="s">
        <v>153</v>
      </c>
      <c r="D23" s="19">
        <v>500</v>
      </c>
      <c r="E23" s="31">
        <f>D23/D25</f>
        <v>9.7847358121330719E-4</v>
      </c>
      <c r="G23" s="63">
        <v>0.05</v>
      </c>
      <c r="J23" t="s">
        <v>159</v>
      </c>
      <c r="M23" s="48">
        <f>G24</f>
        <v>0.95</v>
      </c>
    </row>
    <row r="24" spans="2:15" x14ac:dyDescent="0.35">
      <c r="B24" t="s">
        <v>104</v>
      </c>
      <c r="D24" s="19">
        <v>510500</v>
      </c>
      <c r="E24" s="61">
        <f>E25-E23</f>
        <v>0.99902152641878672</v>
      </c>
      <c r="G24" s="48">
        <f>G25-G23</f>
        <v>0.95</v>
      </c>
    </row>
    <row r="25" spans="2:15" x14ac:dyDescent="0.35">
      <c r="B25" s="54" t="s">
        <v>155</v>
      </c>
      <c r="C25" s="54"/>
      <c r="D25" s="60">
        <f>SUM(D23:D24)</f>
        <v>511000</v>
      </c>
      <c r="E25" s="55">
        <v>1</v>
      </c>
      <c r="F25" s="54"/>
      <c r="G25" s="55">
        <v>1</v>
      </c>
      <c r="J25" t="s">
        <v>146</v>
      </c>
      <c r="M25" s="5">
        <f>E12</f>
        <v>5.6122499999999999E-2</v>
      </c>
    </row>
    <row r="26" spans="2:15" x14ac:dyDescent="0.35">
      <c r="J26" t="s">
        <v>160</v>
      </c>
      <c r="M26" s="48">
        <f>G23</f>
        <v>0.05</v>
      </c>
    </row>
    <row r="27" spans="2:15" x14ac:dyDescent="0.35">
      <c r="B27" t="s">
        <v>157</v>
      </c>
      <c r="E27" s="5">
        <f>E23/E24</f>
        <v>9.7943192948090089E-4</v>
      </c>
      <c r="G27" s="5">
        <f>G23/G24</f>
        <v>5.2631578947368425E-2</v>
      </c>
    </row>
    <row r="28" spans="2:15" x14ac:dyDescent="0.35">
      <c r="J28" s="54"/>
      <c r="K28" s="54"/>
      <c r="L28" s="54"/>
      <c r="M28" s="54"/>
      <c r="N28" s="54"/>
      <c r="O28" s="54"/>
    </row>
    <row r="29" spans="2:15" x14ac:dyDescent="0.35">
      <c r="J29" s="2" t="s">
        <v>116</v>
      </c>
      <c r="M29" s="67">
        <f>(M22*M23)+(M25*M26)</f>
        <v>0.10882612500000001</v>
      </c>
    </row>
    <row r="34" spans="2:15" x14ac:dyDescent="0.35">
      <c r="B34" s="57" t="s">
        <v>161</v>
      </c>
      <c r="C34" s="53"/>
      <c r="D34" s="53"/>
      <c r="E34" s="53"/>
      <c r="F34" s="53"/>
      <c r="G34" s="53"/>
      <c r="J34" s="57" t="s">
        <v>163</v>
      </c>
      <c r="K34" s="57"/>
      <c r="L34" s="53"/>
      <c r="M34" s="53"/>
      <c r="N34" s="53"/>
      <c r="O34" s="53"/>
    </row>
    <row r="36" spans="2:15" x14ac:dyDescent="0.35">
      <c r="B36" t="s">
        <v>162</v>
      </c>
      <c r="E36" s="32">
        <f>'Profit-Loss'!K32</f>
        <v>24193.129999999997</v>
      </c>
      <c r="J36" t="s">
        <v>164</v>
      </c>
      <c r="L36" s="64">
        <v>0.12</v>
      </c>
    </row>
    <row r="37" spans="2:15" x14ac:dyDescent="0.35">
      <c r="B37" t="s">
        <v>148</v>
      </c>
      <c r="E37" s="48">
        <f>E11</f>
        <v>0.25169999999999998</v>
      </c>
      <c r="J37" t="s">
        <v>162</v>
      </c>
      <c r="L37" s="49">
        <f>E36</f>
        <v>24193.129999999997</v>
      </c>
    </row>
    <row r="38" spans="2:15" x14ac:dyDescent="0.35">
      <c r="B38" t="s">
        <v>164</v>
      </c>
      <c r="E38" s="69">
        <f>L36</f>
        <v>0.12</v>
      </c>
      <c r="J38" t="s">
        <v>148</v>
      </c>
      <c r="L38" s="50">
        <f>E37</f>
        <v>0.25169999999999998</v>
      </c>
    </row>
    <row r="39" spans="2:15" x14ac:dyDescent="0.35">
      <c r="B39" t="s">
        <v>168</v>
      </c>
      <c r="E39" s="5">
        <f>E38/L43</f>
        <v>0.44933962571824104</v>
      </c>
      <c r="J39" t="s">
        <v>166</v>
      </c>
      <c r="L39">
        <f>SUM('Data Sheet'!J57:J58)</f>
        <v>74507</v>
      </c>
    </row>
    <row r="40" spans="2:15" x14ac:dyDescent="0.35">
      <c r="B40" t="s">
        <v>161</v>
      </c>
      <c r="E40" s="32">
        <f>E36* (1-E37)*(1-E39)</f>
        <v>9969.0007789999963</v>
      </c>
      <c r="J40" t="s">
        <v>105</v>
      </c>
      <c r="L40">
        <f>D23</f>
        <v>500</v>
      </c>
    </row>
    <row r="41" spans="2:15" x14ac:dyDescent="0.35">
      <c r="B41" s="58" t="s">
        <v>172</v>
      </c>
      <c r="C41" s="58"/>
      <c r="D41" s="58"/>
      <c r="E41" s="65">
        <f>SUM(L63:P63)</f>
        <v>54095.450164676418</v>
      </c>
      <c r="F41" s="54"/>
      <c r="G41" s="54"/>
      <c r="J41" t="s">
        <v>106</v>
      </c>
      <c r="L41">
        <f>'Data Sheet'!J69</f>
        <v>7217.68</v>
      </c>
    </row>
    <row r="42" spans="2:15" x14ac:dyDescent="0.35">
      <c r="J42" t="s">
        <v>167</v>
      </c>
      <c r="L42" s="32">
        <f>L40+L39-L41</f>
        <v>67789.320000000007</v>
      </c>
    </row>
    <row r="43" spans="2:15" x14ac:dyDescent="0.35">
      <c r="J43" s="58" t="s">
        <v>165</v>
      </c>
      <c r="K43" s="58"/>
      <c r="L43" s="66">
        <f>L37*(1-L38)/L42</f>
        <v>0.2670585746987873</v>
      </c>
      <c r="M43" s="58"/>
      <c r="N43" s="58"/>
      <c r="O43" s="58"/>
    </row>
    <row r="44" spans="2:15" x14ac:dyDescent="0.35">
      <c r="B44" s="57" t="s">
        <v>173</v>
      </c>
      <c r="C44" s="53"/>
      <c r="D44" s="53"/>
      <c r="E44" s="53"/>
      <c r="F44" s="53"/>
      <c r="G44" s="53"/>
      <c r="L44" s="30"/>
    </row>
    <row r="46" spans="2:15" x14ac:dyDescent="0.35">
      <c r="B46" t="s">
        <v>161</v>
      </c>
      <c r="D46" s="32">
        <f>P62</f>
        <v>17568.785612684973</v>
      </c>
    </row>
    <row r="47" spans="2:15" x14ac:dyDescent="0.35">
      <c r="B47" t="s">
        <v>116</v>
      </c>
      <c r="D47" s="5">
        <f>M29</f>
        <v>0.10882612500000001</v>
      </c>
    </row>
    <row r="48" spans="2:15" x14ac:dyDescent="0.35">
      <c r="B48" t="s">
        <v>174</v>
      </c>
      <c r="D48" s="68">
        <v>0.05</v>
      </c>
    </row>
    <row r="49" spans="2:16" x14ac:dyDescent="0.35">
      <c r="B49" t="s">
        <v>173</v>
      </c>
      <c r="D49" s="44">
        <f>D46/ (D47-D48)</f>
        <v>298656.17721182504</v>
      </c>
    </row>
    <row r="50" spans="2:16" x14ac:dyDescent="0.35">
      <c r="B50" s="58" t="s">
        <v>175</v>
      </c>
      <c r="C50" s="58"/>
      <c r="D50" s="58">
        <f>D49/POWER(1+D47,5)</f>
        <v>178178.07104011657</v>
      </c>
      <c r="E50" s="54"/>
      <c r="F50" s="54"/>
      <c r="G50" s="54"/>
    </row>
    <row r="60" spans="2:16" x14ac:dyDescent="0.35">
      <c r="J60" t="s">
        <v>169</v>
      </c>
      <c r="L60">
        <v>2025</v>
      </c>
      <c r="M60">
        <v>2026</v>
      </c>
      <c r="N60">
        <v>2027</v>
      </c>
      <c r="O60">
        <v>2028</v>
      </c>
      <c r="P60">
        <v>2029</v>
      </c>
    </row>
    <row r="61" spans="2:16" x14ac:dyDescent="0.35">
      <c r="J61" t="s">
        <v>170</v>
      </c>
      <c r="L61">
        <v>0.5</v>
      </c>
      <c r="M61">
        <v>1.5</v>
      </c>
      <c r="N61">
        <v>2.5</v>
      </c>
      <c r="O61">
        <v>3.5</v>
      </c>
      <c r="P61">
        <v>4.5</v>
      </c>
    </row>
    <row r="62" spans="2:16" x14ac:dyDescent="0.35">
      <c r="J62" t="s">
        <v>161</v>
      </c>
      <c r="L62" s="32">
        <f>E40+(E40*L36)</f>
        <v>11165.280872479996</v>
      </c>
      <c r="M62" s="32">
        <f>L62*1.12</f>
        <v>12505.114577177597</v>
      </c>
      <c r="N62" s="32">
        <f t="shared" ref="N62:P62" si="0">M62*1.12</f>
        <v>14005.72832643891</v>
      </c>
      <c r="O62" s="32">
        <f t="shared" si="0"/>
        <v>15686.415725611581</v>
      </c>
      <c r="P62" s="32">
        <f t="shared" si="0"/>
        <v>17568.785612684973</v>
      </c>
    </row>
    <row r="63" spans="2:16" x14ac:dyDescent="0.35">
      <c r="J63" t="s">
        <v>171</v>
      </c>
      <c r="L63" s="32">
        <f>L62/ POWER(1+$M$29,L61)</f>
        <v>10603.223791444938</v>
      </c>
      <c r="M63" s="32">
        <f t="shared" ref="M63:P63" si="1">M62/ POWER(1+$M$29,M61)</f>
        <v>10710.074716555162</v>
      </c>
      <c r="N63" s="32">
        <f t="shared" si="1"/>
        <v>10818.002401000231</v>
      </c>
      <c r="O63" s="32">
        <f t="shared" si="1"/>
        <v>10927.017695511331</v>
      </c>
      <c r="P63" s="32">
        <f t="shared" si="1"/>
        <v>11037.131560164758</v>
      </c>
    </row>
  </sheetData>
  <pageMargins left="0.7" right="0.7" top="0.75" bottom="0.75" header="0.3" footer="0.3"/>
  <ignoredErrors>
    <ignoredError sqref="L3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F78F-C259-453A-8672-59B114478707}">
  <dimension ref="B3:I135"/>
  <sheetViews>
    <sheetView showGridLines="0" workbookViewId="0">
      <selection activeCell="I10" sqref="I10"/>
    </sheetView>
  </sheetViews>
  <sheetFormatPr defaultRowHeight="14.5" x14ac:dyDescent="0.35"/>
  <cols>
    <col min="2" max="2" width="16.26953125" customWidth="1"/>
    <col min="3" max="3" width="13.36328125" customWidth="1"/>
    <col min="7" max="7" width="15.453125" customWidth="1"/>
    <col min="8" max="8" width="13.26953125" customWidth="1"/>
    <col min="9" max="9" width="17.1796875" customWidth="1"/>
    <col min="13" max="13" width="14.6328125" customWidth="1"/>
    <col min="14" max="14" width="15.453125" customWidth="1"/>
  </cols>
  <sheetData>
    <row r="3" spans="2:9" ht="15" thickBot="1" x14ac:dyDescent="0.4"/>
    <row r="4" spans="2:9" ht="18" thickBot="1" x14ac:dyDescent="0.4">
      <c r="B4" s="37" t="s">
        <v>101</v>
      </c>
      <c r="C4" s="33" t="s">
        <v>102</v>
      </c>
      <c r="D4" t="s">
        <v>108</v>
      </c>
      <c r="F4" s="33" t="s">
        <v>102</v>
      </c>
      <c r="G4" t="s">
        <v>109</v>
      </c>
    </row>
    <row r="5" spans="2:9" ht="18" thickBot="1" x14ac:dyDescent="0.4">
      <c r="B5" s="38">
        <v>46082</v>
      </c>
      <c r="C5" s="34">
        <v>309.7</v>
      </c>
      <c r="F5" s="34">
        <v>54.84</v>
      </c>
    </row>
    <row r="6" spans="2:9" ht="18" thickBot="1" x14ac:dyDescent="0.4">
      <c r="B6" s="39">
        <v>46054</v>
      </c>
      <c r="C6" s="35">
        <v>313.60000000000002</v>
      </c>
      <c r="D6">
        <f>C6/C5-1</f>
        <v>1.2592831772683333E-2</v>
      </c>
      <c r="F6" s="35">
        <v>57.21</v>
      </c>
      <c r="G6">
        <f>F6/F5-1</f>
        <v>4.3216630196936556E-2</v>
      </c>
    </row>
    <row r="7" spans="2:9" ht="18" thickBot="1" x14ac:dyDescent="0.4">
      <c r="B7" s="38">
        <v>46023</v>
      </c>
      <c r="C7" s="34">
        <v>315.54000000000002</v>
      </c>
      <c r="D7">
        <f t="shared" ref="D7:D70" si="0">C7/C6-1</f>
        <v>6.1862244897958885E-3</v>
      </c>
      <c r="F7" s="34">
        <v>56.21</v>
      </c>
      <c r="G7">
        <f t="shared" ref="G7:G70" si="1">F7/F6-1</f>
        <v>-1.7479461632581739E-2</v>
      </c>
      <c r="I7" s="44">
        <f>SLOPE(D6:D124,G6:G124)</f>
        <v>0.30044101308268273</v>
      </c>
    </row>
    <row r="8" spans="2:9" ht="18" thickBot="1" x14ac:dyDescent="0.4">
      <c r="B8" s="39">
        <v>45992</v>
      </c>
      <c r="C8" s="35">
        <v>394.73</v>
      </c>
      <c r="D8">
        <f t="shared" si="0"/>
        <v>0.25096659694491974</v>
      </c>
      <c r="F8" s="35">
        <v>58.32</v>
      </c>
      <c r="G8">
        <f t="shared" si="1"/>
        <v>3.7537804661092355E-2</v>
      </c>
    </row>
    <row r="9" spans="2:9" ht="18" thickBot="1" x14ac:dyDescent="0.4">
      <c r="B9" s="38">
        <v>45962</v>
      </c>
      <c r="C9" s="34">
        <v>395.95</v>
      </c>
      <c r="D9">
        <f t="shared" si="0"/>
        <v>3.0907202391508015E-3</v>
      </c>
      <c r="F9" s="34">
        <v>58.55</v>
      </c>
      <c r="G9">
        <f t="shared" si="1"/>
        <v>3.9437585733881342E-3</v>
      </c>
      <c r="I9" t="s">
        <v>110</v>
      </c>
    </row>
    <row r="10" spans="2:9" ht="18" thickBot="1" x14ac:dyDescent="0.4">
      <c r="B10" s="39">
        <v>45931</v>
      </c>
      <c r="C10" s="35">
        <v>411.72</v>
      </c>
      <c r="D10">
        <f t="shared" si="0"/>
        <v>3.9828261144083887E-2</v>
      </c>
      <c r="F10" s="35">
        <v>58.02</v>
      </c>
      <c r="G10">
        <f t="shared" si="1"/>
        <v>-9.0520922288641614E-3</v>
      </c>
      <c r="I10" s="44">
        <f>0.63*I7+0.33*1</f>
        <v>0.51927783824209017</v>
      </c>
    </row>
    <row r="11" spans="2:9" ht="18" thickBot="1" x14ac:dyDescent="0.4">
      <c r="B11" s="38">
        <v>45901</v>
      </c>
      <c r="C11" s="34">
        <v>393.31</v>
      </c>
      <c r="D11">
        <f t="shared" si="0"/>
        <v>-4.4714854755659283E-2</v>
      </c>
      <c r="F11" s="34">
        <v>56.21</v>
      </c>
      <c r="G11">
        <f t="shared" si="1"/>
        <v>-3.1196139262323341E-2</v>
      </c>
    </row>
    <row r="12" spans="2:9" ht="18" thickBot="1" x14ac:dyDescent="0.4">
      <c r="B12" s="39">
        <v>45870</v>
      </c>
      <c r="C12" s="35">
        <v>401.34</v>
      </c>
      <c r="D12">
        <f t="shared" si="0"/>
        <v>2.0416465383539695E-2</v>
      </c>
      <c r="F12" s="35">
        <v>56.15</v>
      </c>
      <c r="G12">
        <f t="shared" si="1"/>
        <v>-1.0674257249599917E-3</v>
      </c>
    </row>
    <row r="13" spans="2:9" ht="18" thickBot="1" x14ac:dyDescent="0.4">
      <c r="B13" s="38">
        <v>45839</v>
      </c>
      <c r="C13" s="34">
        <v>403.49</v>
      </c>
      <c r="D13">
        <f t="shared" si="0"/>
        <v>5.3570538695371095E-3</v>
      </c>
      <c r="F13" s="34">
        <v>56.1</v>
      </c>
      <c r="G13">
        <f t="shared" si="1"/>
        <v>-8.9047195013347569E-4</v>
      </c>
    </row>
    <row r="14" spans="2:9" ht="18" thickBot="1" x14ac:dyDescent="0.4">
      <c r="B14" s="39">
        <v>45809</v>
      </c>
      <c r="C14" s="35">
        <v>407.9</v>
      </c>
      <c r="D14">
        <f t="shared" si="0"/>
        <v>1.0929638900592176E-2</v>
      </c>
      <c r="F14" s="35">
        <v>59.23</v>
      </c>
      <c r="G14">
        <f t="shared" si="1"/>
        <v>5.5793226381461558E-2</v>
      </c>
    </row>
    <row r="15" spans="2:9" ht="18" thickBot="1" x14ac:dyDescent="0.4">
      <c r="B15" s="38">
        <v>45778</v>
      </c>
      <c r="C15" s="34">
        <v>409.47</v>
      </c>
      <c r="D15">
        <f t="shared" si="0"/>
        <v>3.848982593773087E-3</v>
      </c>
      <c r="F15" s="34">
        <v>57.76</v>
      </c>
      <c r="G15">
        <f t="shared" si="1"/>
        <v>-2.4818504136417285E-2</v>
      </c>
    </row>
    <row r="16" spans="2:9" ht="18" thickBot="1" x14ac:dyDescent="0.4">
      <c r="B16" s="39">
        <v>45748</v>
      </c>
      <c r="C16" s="35">
        <v>409.51</v>
      </c>
      <c r="D16">
        <f t="shared" si="0"/>
        <v>9.7687254255518496E-5</v>
      </c>
      <c r="F16" s="35">
        <v>57.05</v>
      </c>
      <c r="G16">
        <f t="shared" si="1"/>
        <v>-1.2292243767313082E-2</v>
      </c>
    </row>
    <row r="17" spans="2:7" ht="18" thickBot="1" x14ac:dyDescent="0.4">
      <c r="B17" s="38">
        <v>45717</v>
      </c>
      <c r="C17" s="34">
        <v>394.08</v>
      </c>
      <c r="D17">
        <f t="shared" si="0"/>
        <v>-3.767917755366168E-2</v>
      </c>
      <c r="F17" s="34">
        <v>55.07</v>
      </c>
      <c r="G17">
        <f t="shared" si="1"/>
        <v>-3.470639789658192E-2</v>
      </c>
    </row>
    <row r="18" spans="2:7" ht="18" thickBot="1" x14ac:dyDescent="0.4">
      <c r="B18" s="39">
        <v>45689</v>
      </c>
      <c r="C18" s="35">
        <v>379.89</v>
      </c>
      <c r="D18">
        <f t="shared" si="0"/>
        <v>-3.6007917174177839E-2</v>
      </c>
      <c r="F18" s="35">
        <v>51.37</v>
      </c>
      <c r="G18">
        <f t="shared" si="1"/>
        <v>-6.7187216270201633E-2</v>
      </c>
    </row>
    <row r="19" spans="2:7" ht="18" thickBot="1" x14ac:dyDescent="0.4">
      <c r="B19" s="38">
        <v>45658</v>
      </c>
      <c r="C19" s="34">
        <v>423.7</v>
      </c>
      <c r="D19">
        <f t="shared" si="0"/>
        <v>0.11532285661638886</v>
      </c>
      <c r="F19" s="34">
        <v>54.57</v>
      </c>
      <c r="G19">
        <f t="shared" si="1"/>
        <v>6.2293167218220757E-2</v>
      </c>
    </row>
    <row r="20" spans="2:7" ht="18" thickBot="1" x14ac:dyDescent="0.4">
      <c r="B20" s="39">
        <v>45627</v>
      </c>
      <c r="C20" s="35">
        <v>440.81</v>
      </c>
      <c r="D20">
        <f t="shared" si="0"/>
        <v>4.0382345999528058E-2</v>
      </c>
      <c r="F20" s="35">
        <v>55.3</v>
      </c>
      <c r="G20">
        <f t="shared" si="1"/>
        <v>1.3377313542239255E-2</v>
      </c>
    </row>
    <row r="21" spans="2:7" ht="18" thickBot="1" x14ac:dyDescent="0.4">
      <c r="B21" s="38">
        <v>45597</v>
      </c>
      <c r="C21" s="34">
        <v>434.52</v>
      </c>
      <c r="D21">
        <f t="shared" si="0"/>
        <v>-1.4269186270728929E-2</v>
      </c>
      <c r="F21" s="34">
        <v>57.34</v>
      </c>
      <c r="G21">
        <f t="shared" si="1"/>
        <v>3.6889692585895251E-2</v>
      </c>
    </row>
    <row r="22" spans="2:7" ht="18" thickBot="1" x14ac:dyDescent="0.4">
      <c r="B22" s="39">
        <v>45566</v>
      </c>
      <c r="C22" s="35">
        <v>445.5</v>
      </c>
      <c r="D22">
        <f t="shared" si="0"/>
        <v>2.5269262634631362E-2</v>
      </c>
      <c r="F22" s="35">
        <v>58.78</v>
      </c>
      <c r="G22">
        <f t="shared" si="1"/>
        <v>2.511335891175448E-2</v>
      </c>
    </row>
    <row r="23" spans="2:7" ht="18" thickBot="1" x14ac:dyDescent="0.4">
      <c r="B23" s="38">
        <v>45536</v>
      </c>
      <c r="C23" s="34">
        <v>472.25</v>
      </c>
      <c r="D23">
        <f t="shared" si="0"/>
        <v>6.0044893378226716E-2</v>
      </c>
      <c r="F23" s="34">
        <v>63.21</v>
      </c>
      <c r="G23">
        <f t="shared" si="1"/>
        <v>7.5365770670295928E-2</v>
      </c>
    </row>
    <row r="24" spans="2:7" ht="18" thickBot="1" x14ac:dyDescent="0.4">
      <c r="B24" s="39">
        <v>45505</v>
      </c>
      <c r="C24" s="35">
        <v>457.44</v>
      </c>
      <c r="D24">
        <f t="shared" si="0"/>
        <v>-3.1360508205399706E-2</v>
      </c>
      <c r="F24" s="35">
        <v>61.68</v>
      </c>
      <c r="G24">
        <f t="shared" si="1"/>
        <v>-2.420503084954917E-2</v>
      </c>
    </row>
    <row r="25" spans="2:7" ht="18" thickBot="1" x14ac:dyDescent="0.4">
      <c r="B25" s="38">
        <v>45474</v>
      </c>
      <c r="C25" s="34">
        <v>451.47</v>
      </c>
      <c r="D25">
        <f t="shared" si="0"/>
        <v>-1.3050891920251773E-2</v>
      </c>
      <c r="F25" s="34">
        <v>61.52</v>
      </c>
      <c r="G25">
        <f t="shared" si="1"/>
        <v>-2.5940337224383825E-3</v>
      </c>
    </row>
    <row r="26" spans="2:7" ht="18" thickBot="1" x14ac:dyDescent="0.4">
      <c r="B26" s="39">
        <v>45444</v>
      </c>
      <c r="C26" s="35">
        <v>387.26</v>
      </c>
      <c r="D26">
        <f t="shared" si="0"/>
        <v>-0.14222428954304833</v>
      </c>
      <c r="F26" s="35">
        <v>58.76</v>
      </c>
      <c r="G26">
        <f t="shared" si="1"/>
        <v>-4.4863459037711384E-2</v>
      </c>
    </row>
    <row r="27" spans="2:7" ht="18" thickBot="1" x14ac:dyDescent="0.4">
      <c r="B27" s="38">
        <v>45413</v>
      </c>
      <c r="C27" s="34">
        <v>381.9</v>
      </c>
      <c r="D27">
        <f t="shared" si="0"/>
        <v>-1.384083044982698E-2</v>
      </c>
      <c r="F27" s="34">
        <v>55.71</v>
      </c>
      <c r="G27">
        <f t="shared" si="1"/>
        <v>-5.1906058543226608E-2</v>
      </c>
    </row>
    <row r="28" spans="2:7" ht="18" thickBot="1" x14ac:dyDescent="0.4">
      <c r="B28" s="39">
        <v>45383</v>
      </c>
      <c r="C28" s="35">
        <v>390.14</v>
      </c>
      <c r="D28">
        <f t="shared" si="0"/>
        <v>2.1576328881906193E-2</v>
      </c>
      <c r="F28" s="35">
        <v>55.11</v>
      </c>
      <c r="G28">
        <f t="shared" si="1"/>
        <v>-1.0770059235325813E-2</v>
      </c>
    </row>
    <row r="29" spans="2:7" ht="18" thickBot="1" x14ac:dyDescent="0.4">
      <c r="B29" s="38">
        <v>45352</v>
      </c>
      <c r="C29" s="34">
        <v>383.6</v>
      </c>
      <c r="D29">
        <f t="shared" si="0"/>
        <v>-1.6763213205515881E-2</v>
      </c>
      <c r="F29" s="34">
        <v>55.47</v>
      </c>
      <c r="G29">
        <f t="shared" si="1"/>
        <v>6.5323897659226304E-3</v>
      </c>
    </row>
    <row r="30" spans="2:7" ht="18" thickBot="1" x14ac:dyDescent="0.4">
      <c r="B30" s="39">
        <v>45323</v>
      </c>
      <c r="C30" s="35">
        <v>363.86</v>
      </c>
      <c r="D30">
        <f t="shared" si="0"/>
        <v>-5.1459854014598516E-2</v>
      </c>
      <c r="F30" s="35">
        <v>54.71</v>
      </c>
      <c r="G30">
        <f t="shared" si="1"/>
        <v>-1.3701099693527952E-2</v>
      </c>
    </row>
    <row r="31" spans="2:7" ht="18" thickBot="1" x14ac:dyDescent="0.4">
      <c r="B31" s="38">
        <v>45292</v>
      </c>
      <c r="C31" s="34">
        <v>389.7</v>
      </c>
      <c r="D31">
        <f t="shared" si="0"/>
        <v>7.1016324960149424E-2</v>
      </c>
      <c r="F31" s="34">
        <v>53.62</v>
      </c>
      <c r="G31">
        <f t="shared" si="1"/>
        <v>-1.9923231584719536E-2</v>
      </c>
    </row>
    <row r="32" spans="2:7" ht="18" thickBot="1" x14ac:dyDescent="0.4">
      <c r="B32" s="39">
        <v>45261</v>
      </c>
      <c r="C32" s="35">
        <v>407.84</v>
      </c>
      <c r="D32">
        <f t="shared" si="0"/>
        <v>4.6548627149088917E-2</v>
      </c>
      <c r="F32" s="35">
        <v>52.57</v>
      </c>
      <c r="G32">
        <f t="shared" si="1"/>
        <v>-1.9582245430809331E-2</v>
      </c>
    </row>
    <row r="33" spans="2:7" ht="18" thickBot="1" x14ac:dyDescent="0.4">
      <c r="B33" s="38">
        <v>45231</v>
      </c>
      <c r="C33" s="34">
        <v>384.63</v>
      </c>
      <c r="D33">
        <f t="shared" si="0"/>
        <v>-5.690957238132599E-2</v>
      </c>
      <c r="F33" s="34">
        <v>49.38</v>
      </c>
      <c r="G33">
        <f t="shared" si="1"/>
        <v>-6.0680996766216411E-2</v>
      </c>
    </row>
    <row r="34" spans="2:7" ht="18" thickBot="1" x14ac:dyDescent="0.4">
      <c r="B34" s="39">
        <v>45200</v>
      </c>
      <c r="C34" s="35">
        <v>378.09</v>
      </c>
      <c r="D34">
        <f t="shared" si="0"/>
        <v>-1.7003353872552918E-2</v>
      </c>
      <c r="F34" s="35">
        <v>45.97</v>
      </c>
      <c r="G34">
        <f t="shared" si="1"/>
        <v>-6.9056298096395352E-2</v>
      </c>
    </row>
    <row r="35" spans="2:7" ht="18" thickBot="1" x14ac:dyDescent="0.4">
      <c r="B35" s="38">
        <v>45170</v>
      </c>
      <c r="C35" s="34">
        <v>392.22</v>
      </c>
      <c r="D35">
        <f t="shared" si="0"/>
        <v>3.7372054272792443E-2</v>
      </c>
      <c r="F35" s="34">
        <v>47.3</v>
      </c>
      <c r="G35">
        <f t="shared" si="1"/>
        <v>2.8931912116597847E-2</v>
      </c>
    </row>
    <row r="36" spans="2:7" ht="18" thickBot="1" x14ac:dyDescent="0.4">
      <c r="B36" s="39">
        <v>45139</v>
      </c>
      <c r="C36" s="35">
        <v>388.07</v>
      </c>
      <c r="D36">
        <f t="shared" si="0"/>
        <v>-1.058079649176491E-2</v>
      </c>
      <c r="F36" s="35">
        <v>45.8</v>
      </c>
      <c r="G36">
        <f t="shared" si="1"/>
        <v>-3.1712473572938715E-2</v>
      </c>
    </row>
    <row r="37" spans="2:7" ht="18" thickBot="1" x14ac:dyDescent="0.4">
      <c r="B37" s="38">
        <v>45108</v>
      </c>
      <c r="C37" s="34">
        <v>411.01</v>
      </c>
      <c r="D37">
        <f t="shared" si="0"/>
        <v>5.9113046615301368E-2</v>
      </c>
      <c r="F37" s="34">
        <v>47.5</v>
      </c>
      <c r="G37">
        <f t="shared" si="1"/>
        <v>3.7117903930131035E-2</v>
      </c>
    </row>
    <row r="38" spans="2:7" ht="18" thickBot="1" x14ac:dyDescent="0.4">
      <c r="B38" s="39">
        <v>45078</v>
      </c>
      <c r="C38" s="35">
        <v>398.57</v>
      </c>
      <c r="D38">
        <f t="shared" si="0"/>
        <v>-3.0266903481667162E-2</v>
      </c>
      <c r="F38" s="35">
        <v>46.51</v>
      </c>
      <c r="G38">
        <f t="shared" si="1"/>
        <v>-2.0842105263157884E-2</v>
      </c>
    </row>
    <row r="39" spans="2:7" ht="18" thickBot="1" x14ac:dyDescent="0.4">
      <c r="B39" s="38">
        <v>45047</v>
      </c>
      <c r="C39" s="34">
        <v>393.19</v>
      </c>
      <c r="D39">
        <f t="shared" si="0"/>
        <v>-1.3498256266151532E-2</v>
      </c>
      <c r="F39" s="34">
        <v>43.97</v>
      </c>
      <c r="G39">
        <f t="shared" si="1"/>
        <v>-5.4611911416899583E-2</v>
      </c>
    </row>
    <row r="40" spans="2:7" ht="18" thickBot="1" x14ac:dyDescent="0.4">
      <c r="B40" s="39">
        <v>45017</v>
      </c>
      <c r="C40" s="35">
        <v>367.63</v>
      </c>
      <c r="D40">
        <f t="shared" si="0"/>
        <v>-6.500673974414406E-2</v>
      </c>
      <c r="F40" s="35">
        <v>43.41</v>
      </c>
      <c r="G40">
        <f t="shared" si="1"/>
        <v>-1.273595633386404E-2</v>
      </c>
    </row>
    <row r="41" spans="2:7" ht="18" thickBot="1" x14ac:dyDescent="0.4">
      <c r="B41" s="38">
        <v>44986</v>
      </c>
      <c r="C41" s="34">
        <v>331.31</v>
      </c>
      <c r="D41">
        <f t="shared" si="0"/>
        <v>-9.8794984087261617E-2</v>
      </c>
      <c r="F41" s="34">
        <v>40.82</v>
      </c>
      <c r="G41">
        <f t="shared" si="1"/>
        <v>-5.9663671964984899E-2</v>
      </c>
    </row>
    <row r="42" spans="2:7" ht="18" thickBot="1" x14ac:dyDescent="0.4">
      <c r="B42" s="39">
        <v>44958</v>
      </c>
      <c r="C42" s="35">
        <v>325.43</v>
      </c>
      <c r="D42">
        <f t="shared" si="0"/>
        <v>-1.7747728713289668E-2</v>
      </c>
      <c r="F42" s="35">
        <v>40.450000000000003</v>
      </c>
      <c r="G42">
        <f t="shared" si="1"/>
        <v>-9.0641842234198133E-3</v>
      </c>
    </row>
    <row r="43" spans="2:7" ht="18" thickBot="1" x14ac:dyDescent="0.4">
      <c r="B43" s="38">
        <v>44927</v>
      </c>
      <c r="C43" s="34">
        <v>299.67</v>
      </c>
      <c r="D43">
        <f t="shared" si="0"/>
        <v>-7.9156807915680805E-2</v>
      </c>
      <c r="F43" s="34">
        <v>42.74</v>
      </c>
      <c r="G43">
        <f t="shared" si="1"/>
        <v>5.6613102595797216E-2</v>
      </c>
    </row>
    <row r="44" spans="2:7" ht="18" thickBot="1" x14ac:dyDescent="0.4">
      <c r="B44" s="39">
        <v>44896</v>
      </c>
      <c r="C44" s="35">
        <v>281.98</v>
      </c>
      <c r="D44">
        <f t="shared" si="0"/>
        <v>-5.9031601428237712E-2</v>
      </c>
      <c r="F44" s="35">
        <v>42.4</v>
      </c>
      <c r="G44">
        <f t="shared" si="1"/>
        <v>-7.9550772110436041E-3</v>
      </c>
    </row>
    <row r="45" spans="2:7" ht="18" thickBot="1" x14ac:dyDescent="0.4">
      <c r="B45" s="38">
        <v>44866</v>
      </c>
      <c r="C45" s="34">
        <v>289.17</v>
      </c>
      <c r="D45">
        <f t="shared" si="0"/>
        <v>2.5498262288105478E-2</v>
      </c>
      <c r="F45" s="34">
        <v>44.44</v>
      </c>
      <c r="G45">
        <f t="shared" si="1"/>
        <v>4.8113207547169745E-2</v>
      </c>
    </row>
    <row r="46" spans="2:7" ht="18" thickBot="1" x14ac:dyDescent="0.4">
      <c r="B46" s="39">
        <v>44835</v>
      </c>
      <c r="C46" s="35">
        <v>296.57</v>
      </c>
      <c r="D46">
        <f t="shared" si="0"/>
        <v>2.5590483106822992E-2</v>
      </c>
      <c r="F46" s="35">
        <v>42.21</v>
      </c>
      <c r="G46">
        <f t="shared" si="1"/>
        <v>-5.0180018001800164E-2</v>
      </c>
    </row>
    <row r="47" spans="2:7" ht="18" thickBot="1" x14ac:dyDescent="0.4">
      <c r="B47" s="38">
        <v>44805</v>
      </c>
      <c r="C47" s="34">
        <v>282.52999999999997</v>
      </c>
      <c r="D47">
        <f t="shared" si="0"/>
        <v>-4.734126850322018E-2</v>
      </c>
      <c r="F47" s="34">
        <v>40.590000000000003</v>
      </c>
      <c r="G47">
        <f t="shared" si="1"/>
        <v>-3.8379530916844318E-2</v>
      </c>
    </row>
    <row r="48" spans="2:7" ht="18" thickBot="1" x14ac:dyDescent="0.4">
      <c r="B48" s="39">
        <v>44774</v>
      </c>
      <c r="C48" s="35">
        <v>272.58</v>
      </c>
      <c r="D48">
        <f t="shared" si="0"/>
        <v>-3.5217499026652055E-2</v>
      </c>
      <c r="F48" s="35">
        <v>42.88</v>
      </c>
      <c r="G48">
        <f t="shared" si="1"/>
        <v>5.6417836905641838E-2</v>
      </c>
    </row>
    <row r="49" spans="2:7" ht="18" thickBot="1" x14ac:dyDescent="0.4">
      <c r="B49" s="38">
        <v>44743</v>
      </c>
      <c r="C49" s="34">
        <v>257.74</v>
      </c>
      <c r="D49">
        <f t="shared" si="0"/>
        <v>-5.4442732408834016E-2</v>
      </c>
      <c r="F49" s="34">
        <v>42.76</v>
      </c>
      <c r="G49">
        <f t="shared" si="1"/>
        <v>-2.7985074626867279E-3</v>
      </c>
    </row>
    <row r="50" spans="2:7" ht="18" thickBot="1" x14ac:dyDescent="0.4">
      <c r="B50" s="39">
        <v>44713</v>
      </c>
      <c r="C50" s="35">
        <v>232.61</v>
      </c>
      <c r="D50">
        <f t="shared" si="0"/>
        <v>-9.7501357957631707E-2</v>
      </c>
      <c r="F50" s="35">
        <v>38.869999999999997</v>
      </c>
      <c r="G50">
        <f t="shared" si="1"/>
        <v>-9.097287184284375E-2</v>
      </c>
    </row>
    <row r="51" spans="2:7" ht="18" thickBot="1" x14ac:dyDescent="0.4">
      <c r="B51" s="38">
        <v>44682</v>
      </c>
      <c r="C51" s="34">
        <v>230.19</v>
      </c>
      <c r="D51">
        <f t="shared" si="0"/>
        <v>-1.0403679979364644E-2</v>
      </c>
      <c r="F51" s="34">
        <v>41.26</v>
      </c>
      <c r="G51">
        <f t="shared" si="1"/>
        <v>6.1487007975302266E-2</v>
      </c>
    </row>
    <row r="52" spans="2:7" ht="18" thickBot="1" x14ac:dyDescent="0.4">
      <c r="B52" s="39">
        <v>44652</v>
      </c>
      <c r="C52" s="35">
        <v>215.69</v>
      </c>
      <c r="D52">
        <f t="shared" si="0"/>
        <v>-6.2991441852382812E-2</v>
      </c>
      <c r="F52" s="35">
        <v>43.31</v>
      </c>
      <c r="G52">
        <f t="shared" si="1"/>
        <v>4.9684924866699065E-2</v>
      </c>
    </row>
    <row r="53" spans="2:7" ht="18" thickBot="1" x14ac:dyDescent="0.4">
      <c r="B53" s="38">
        <v>44621</v>
      </c>
      <c r="C53" s="34">
        <v>208.29</v>
      </c>
      <c r="D53">
        <f t="shared" si="0"/>
        <v>-3.4308498307756508E-2</v>
      </c>
      <c r="F53" s="34">
        <v>43.25</v>
      </c>
      <c r="G53">
        <f t="shared" si="1"/>
        <v>-1.3853613484183791E-3</v>
      </c>
    </row>
    <row r="54" spans="2:7" ht="18" thickBot="1" x14ac:dyDescent="0.4">
      <c r="B54" s="40">
        <v>44593</v>
      </c>
      <c r="C54" s="36">
        <v>179.37</v>
      </c>
      <c r="D54">
        <f t="shared" si="0"/>
        <v>-0.13884487973498483</v>
      </c>
      <c r="F54" s="36">
        <v>42.83</v>
      </c>
      <c r="G54">
        <f t="shared" si="1"/>
        <v>-9.7109826589595327E-3</v>
      </c>
    </row>
    <row r="55" spans="2:7" ht="18" thickBot="1" x14ac:dyDescent="0.4">
      <c r="B55" s="38">
        <v>44562</v>
      </c>
      <c r="C55" s="34">
        <v>178.85</v>
      </c>
      <c r="D55">
        <f t="shared" si="0"/>
        <v>-2.8990355131850443E-3</v>
      </c>
      <c r="F55" s="34">
        <v>44.67</v>
      </c>
      <c r="G55">
        <f t="shared" si="1"/>
        <v>4.2960541676395181E-2</v>
      </c>
    </row>
    <row r="56" spans="2:7" ht="18" thickBot="1" x14ac:dyDescent="0.4">
      <c r="B56" s="39">
        <v>44531</v>
      </c>
      <c r="C56" s="35">
        <v>177.11</v>
      </c>
      <c r="D56">
        <f t="shared" si="0"/>
        <v>-9.7288230360635941E-3</v>
      </c>
      <c r="F56" s="35">
        <v>43.92</v>
      </c>
      <c r="G56">
        <f t="shared" si="1"/>
        <v>-1.6789791806581578E-2</v>
      </c>
    </row>
    <row r="57" spans="2:7" ht="18" thickBot="1" x14ac:dyDescent="0.4">
      <c r="B57" s="38">
        <v>44501</v>
      </c>
      <c r="C57" s="34">
        <v>179.62</v>
      </c>
      <c r="D57">
        <f>C57/C56-1</f>
        <v>1.4171983513070918E-2</v>
      </c>
      <c r="F57" s="34">
        <v>42.8</v>
      </c>
      <c r="G57">
        <f t="shared" si="1"/>
        <v>-2.5500910746812488E-2</v>
      </c>
    </row>
    <row r="58" spans="2:7" ht="18" thickBot="1" x14ac:dyDescent="0.4">
      <c r="B58" s="39">
        <v>44470</v>
      </c>
      <c r="C58" s="35">
        <v>181.29</v>
      </c>
      <c r="D58">
        <f t="shared" si="0"/>
        <v>9.2974056341164069E-3</v>
      </c>
      <c r="F58" s="35">
        <v>44.07</v>
      </c>
      <c r="G58">
        <f t="shared" si="1"/>
        <v>2.9672897196261649E-2</v>
      </c>
    </row>
    <row r="59" spans="2:7" ht="18" thickBot="1" x14ac:dyDescent="0.4">
      <c r="B59" s="38">
        <v>44440</v>
      </c>
      <c r="C59" s="34">
        <v>191.81</v>
      </c>
      <c r="D59">
        <f t="shared" si="0"/>
        <v>5.8028573004578421E-2</v>
      </c>
      <c r="F59" s="34">
        <v>44.62</v>
      </c>
      <c r="G59">
        <f t="shared" si="1"/>
        <v>1.2480145223507932E-2</v>
      </c>
    </row>
    <row r="60" spans="2:7" ht="18" thickBot="1" x14ac:dyDescent="0.4">
      <c r="B60" s="39">
        <v>44409</v>
      </c>
      <c r="C60" s="35">
        <v>171.62</v>
      </c>
      <c r="D60">
        <f t="shared" si="0"/>
        <v>-0.10526041395130592</v>
      </c>
      <c r="F60" s="35">
        <v>44.06</v>
      </c>
      <c r="G60">
        <f t="shared" si="1"/>
        <v>-1.2550425818018685E-2</v>
      </c>
    </row>
    <row r="61" spans="2:7" ht="18" thickBot="1" x14ac:dyDescent="0.4">
      <c r="B61" s="38">
        <v>44378</v>
      </c>
      <c r="C61" s="34">
        <v>166.47</v>
      </c>
      <c r="D61">
        <f t="shared" si="0"/>
        <v>-3.0008157557394277E-2</v>
      </c>
      <c r="F61" s="34">
        <v>41.18</v>
      </c>
      <c r="G61">
        <f t="shared" si="1"/>
        <v>-6.536541080344993E-2</v>
      </c>
    </row>
    <row r="62" spans="2:7" ht="18" thickBot="1" x14ac:dyDescent="0.4">
      <c r="B62" s="39">
        <v>44348</v>
      </c>
      <c r="C62" s="35">
        <v>164.64</v>
      </c>
      <c r="D62">
        <f t="shared" si="0"/>
        <v>-1.0992971706613841E-2</v>
      </c>
      <c r="F62" s="35">
        <v>40.619999999999997</v>
      </c>
      <c r="G62">
        <f t="shared" si="1"/>
        <v>-1.3598834385624148E-2</v>
      </c>
    </row>
    <row r="63" spans="2:7" ht="18" thickBot="1" x14ac:dyDescent="0.4">
      <c r="B63" s="38">
        <v>44317</v>
      </c>
      <c r="C63" s="34">
        <v>171.17</v>
      </c>
      <c r="D63">
        <f t="shared" si="0"/>
        <v>3.9662293488824218E-2</v>
      </c>
      <c r="F63" s="34">
        <v>41.19</v>
      </c>
      <c r="G63">
        <f t="shared" si="1"/>
        <v>1.4032496307237796E-2</v>
      </c>
    </row>
    <row r="64" spans="2:7" ht="18" thickBot="1" x14ac:dyDescent="0.4">
      <c r="B64" s="39">
        <v>44287</v>
      </c>
      <c r="C64" s="35">
        <v>160.11000000000001</v>
      </c>
      <c r="D64">
        <f t="shared" si="0"/>
        <v>-6.4614126307179887E-2</v>
      </c>
      <c r="F64" s="35">
        <v>38.31</v>
      </c>
      <c r="G64">
        <f t="shared" si="1"/>
        <v>-6.9919883466860733E-2</v>
      </c>
    </row>
    <row r="65" spans="2:7" ht="18" thickBot="1" x14ac:dyDescent="0.4">
      <c r="B65" s="38">
        <v>44256</v>
      </c>
      <c r="C65" s="34">
        <v>172.67</v>
      </c>
      <c r="D65">
        <f t="shared" si="0"/>
        <v>7.8446068328024365E-2</v>
      </c>
      <c r="F65" s="34">
        <v>38.369999999999997</v>
      </c>
      <c r="G65">
        <f t="shared" si="1"/>
        <v>1.5661707126075619E-3</v>
      </c>
    </row>
    <row r="66" spans="2:7" ht="18" thickBot="1" x14ac:dyDescent="0.4">
      <c r="B66" s="39">
        <v>44228</v>
      </c>
      <c r="C66" s="35">
        <v>161.09</v>
      </c>
      <c r="D66">
        <f t="shared" si="0"/>
        <v>-6.7064342387212483E-2</v>
      </c>
      <c r="F66" s="35">
        <v>37.22</v>
      </c>
      <c r="G66">
        <f t="shared" si="1"/>
        <v>-2.9971331769611642E-2</v>
      </c>
    </row>
    <row r="67" spans="2:7" ht="18" thickBot="1" x14ac:dyDescent="0.4">
      <c r="B67" s="38">
        <v>44197</v>
      </c>
      <c r="C67" s="34">
        <v>156.9</v>
      </c>
      <c r="D67">
        <f t="shared" si="0"/>
        <v>-2.6010304798559813E-2</v>
      </c>
      <c r="F67" s="34">
        <v>34.64</v>
      </c>
      <c r="G67">
        <f t="shared" si="1"/>
        <v>-6.9317571198280414E-2</v>
      </c>
    </row>
    <row r="68" spans="2:7" ht="18" thickBot="1" x14ac:dyDescent="0.4">
      <c r="B68" s="39">
        <v>44166</v>
      </c>
      <c r="C68" s="35">
        <v>161.34</v>
      </c>
      <c r="D68">
        <f t="shared" si="0"/>
        <v>2.8298279158699868E-2</v>
      </c>
      <c r="F68" s="35">
        <v>34.630000000000003</v>
      </c>
      <c r="G68">
        <f t="shared" si="1"/>
        <v>-2.8868360277134464E-4</v>
      </c>
    </row>
    <row r="69" spans="2:7" ht="18" thickBot="1" x14ac:dyDescent="0.4">
      <c r="B69" s="38">
        <v>44136</v>
      </c>
      <c r="C69" s="34">
        <v>149.49</v>
      </c>
      <c r="D69">
        <f t="shared" si="0"/>
        <v>-7.3447378207512015E-2</v>
      </c>
      <c r="F69" s="34">
        <v>31.91</v>
      </c>
      <c r="G69">
        <f t="shared" si="1"/>
        <v>-7.8544614496101728E-2</v>
      </c>
    </row>
    <row r="70" spans="2:7" ht="18" thickBot="1" x14ac:dyDescent="0.4">
      <c r="B70" s="39">
        <v>44105</v>
      </c>
      <c r="C70" s="35">
        <v>127.57</v>
      </c>
      <c r="D70">
        <f t="shared" si="0"/>
        <v>-0.14663188173121955</v>
      </c>
      <c r="F70" s="35">
        <v>29.21</v>
      </c>
      <c r="G70">
        <f t="shared" si="1"/>
        <v>-8.4612973989344975E-2</v>
      </c>
    </row>
    <row r="71" spans="2:7" ht="18" thickBot="1" x14ac:dyDescent="0.4">
      <c r="B71" s="38">
        <v>44075</v>
      </c>
      <c r="C71" s="34">
        <v>132.54</v>
      </c>
      <c r="D71">
        <f t="shared" ref="D71:D124" si="2">C71/C70-1</f>
        <v>3.8959002900368356E-2</v>
      </c>
      <c r="F71" s="34">
        <v>27.93</v>
      </c>
      <c r="G71">
        <f t="shared" ref="G71:G124" si="3">F71/F70-1</f>
        <v>-4.3820609380349262E-2</v>
      </c>
    </row>
    <row r="72" spans="2:7" ht="18" thickBot="1" x14ac:dyDescent="0.4">
      <c r="B72" s="39">
        <v>44044</v>
      </c>
      <c r="C72" s="35">
        <v>147.52000000000001</v>
      </c>
      <c r="D72">
        <f t="shared" si="2"/>
        <v>0.11302248377848212</v>
      </c>
      <c r="F72" s="35">
        <v>28.69</v>
      </c>
      <c r="G72">
        <f t="shared" si="3"/>
        <v>2.7210884353741527E-2</v>
      </c>
    </row>
    <row r="73" spans="2:7" ht="18" thickBot="1" x14ac:dyDescent="0.4">
      <c r="B73" s="38">
        <v>44013</v>
      </c>
      <c r="C73" s="34">
        <v>149.88</v>
      </c>
      <c r="D73">
        <f t="shared" si="2"/>
        <v>1.5997830802602975E-2</v>
      </c>
      <c r="F73" s="34">
        <v>26.96</v>
      </c>
      <c r="G73">
        <f t="shared" si="3"/>
        <v>-6.0299756012547889E-2</v>
      </c>
    </row>
    <row r="74" spans="2:7" ht="18" thickBot="1" x14ac:dyDescent="0.4">
      <c r="B74" s="39">
        <v>43983</v>
      </c>
      <c r="C74" s="35">
        <v>142.91</v>
      </c>
      <c r="D74">
        <f t="shared" si="2"/>
        <v>-4.6503869762476668E-2</v>
      </c>
      <c r="F74" s="35">
        <v>25.33</v>
      </c>
      <c r="G74">
        <f t="shared" si="3"/>
        <v>-6.0459940652819122E-2</v>
      </c>
    </row>
    <row r="75" spans="2:7" ht="18" thickBot="1" x14ac:dyDescent="0.4">
      <c r="B75" s="38">
        <v>43952</v>
      </c>
      <c r="C75" s="34">
        <v>144.9</v>
      </c>
      <c r="D75">
        <f t="shared" si="2"/>
        <v>1.3924847806311647E-2</v>
      </c>
      <c r="F75" s="34">
        <v>23.47</v>
      </c>
      <c r="G75">
        <f t="shared" si="3"/>
        <v>-7.3430714567706223E-2</v>
      </c>
    </row>
    <row r="76" spans="2:7" ht="18" thickBot="1" x14ac:dyDescent="0.4">
      <c r="B76" s="39">
        <v>43922</v>
      </c>
      <c r="C76" s="35">
        <v>133.66</v>
      </c>
      <c r="D76">
        <f t="shared" si="2"/>
        <v>-7.757073844030371E-2</v>
      </c>
      <c r="F76" s="35">
        <v>23.21</v>
      </c>
      <c r="G76">
        <f t="shared" si="3"/>
        <v>-1.1077971878994397E-2</v>
      </c>
    </row>
    <row r="77" spans="2:7" ht="18" thickBot="1" x14ac:dyDescent="0.4">
      <c r="B77" s="38">
        <v>43891</v>
      </c>
      <c r="C77" s="34">
        <v>126.06</v>
      </c>
      <c r="D77">
        <f t="shared" si="2"/>
        <v>-5.686069130629956E-2</v>
      </c>
      <c r="F77" s="34">
        <v>20.38</v>
      </c>
      <c r="G77">
        <f t="shared" si="3"/>
        <v>-0.12193020249892295</v>
      </c>
    </row>
    <row r="78" spans="2:7" ht="18" thickBot="1" x14ac:dyDescent="0.4">
      <c r="B78" s="39">
        <v>43862</v>
      </c>
      <c r="C78" s="35">
        <v>145.04</v>
      </c>
      <c r="D78">
        <f t="shared" si="2"/>
        <v>0.15056322386165299</v>
      </c>
      <c r="F78" s="35">
        <v>27.66</v>
      </c>
      <c r="G78">
        <f t="shared" si="3"/>
        <v>0.35721295387634933</v>
      </c>
    </row>
    <row r="79" spans="2:7" ht="18" thickBot="1" x14ac:dyDescent="0.4">
      <c r="B79" s="38">
        <v>43831</v>
      </c>
      <c r="C79" s="34">
        <v>172.65</v>
      </c>
      <c r="D79">
        <f t="shared" si="2"/>
        <v>0.19036127964699401</v>
      </c>
      <c r="F79" s="34">
        <v>30.37</v>
      </c>
      <c r="G79">
        <f t="shared" si="3"/>
        <v>9.7975415762834528E-2</v>
      </c>
    </row>
    <row r="80" spans="2:7" ht="18" thickBot="1" x14ac:dyDescent="0.4">
      <c r="B80" s="39">
        <v>43800</v>
      </c>
      <c r="C80" s="35">
        <v>174.52</v>
      </c>
      <c r="D80">
        <f t="shared" si="2"/>
        <v>1.0831161309006632E-2</v>
      </c>
      <c r="F80" s="35">
        <v>31.46</v>
      </c>
      <c r="G80">
        <f t="shared" si="3"/>
        <v>3.589068159367792E-2</v>
      </c>
    </row>
    <row r="81" spans="2:7" ht="18" thickBot="1" x14ac:dyDescent="0.4">
      <c r="B81" s="38">
        <v>43770</v>
      </c>
      <c r="C81" s="34">
        <v>180.91</v>
      </c>
      <c r="D81">
        <f t="shared" si="2"/>
        <v>3.6614714645885726E-2</v>
      </c>
      <c r="F81" s="34">
        <v>31.22</v>
      </c>
      <c r="G81">
        <f t="shared" si="3"/>
        <v>-7.6287349014622086E-3</v>
      </c>
    </row>
    <row r="82" spans="2:7" ht="18" thickBot="1" x14ac:dyDescent="0.4">
      <c r="B82" s="39">
        <v>43739</v>
      </c>
      <c r="C82" s="35">
        <v>189.17</v>
      </c>
      <c r="D82">
        <f t="shared" si="2"/>
        <v>4.5658062019788836E-2</v>
      </c>
      <c r="F82" s="35">
        <v>31.57</v>
      </c>
      <c r="G82">
        <f t="shared" si="3"/>
        <v>1.1210762331838708E-2</v>
      </c>
    </row>
    <row r="83" spans="2:7" ht="18" thickBot="1" x14ac:dyDescent="0.4">
      <c r="B83" s="38">
        <v>43709</v>
      </c>
      <c r="C83" s="34">
        <v>190.78</v>
      </c>
      <c r="D83">
        <f t="shared" si="2"/>
        <v>8.5108632447006283E-3</v>
      </c>
      <c r="F83" s="34">
        <v>30.82</v>
      </c>
      <c r="G83">
        <f t="shared" si="3"/>
        <v>-2.3756731073804271E-2</v>
      </c>
    </row>
    <row r="84" spans="2:7" ht="18" thickBot="1" x14ac:dyDescent="0.4">
      <c r="B84" s="39">
        <v>43678</v>
      </c>
      <c r="C84" s="35">
        <v>180.36</v>
      </c>
      <c r="D84">
        <f t="shared" si="2"/>
        <v>-5.4617884474263523E-2</v>
      </c>
      <c r="F84" s="35">
        <v>28.76</v>
      </c>
      <c r="G84">
        <f t="shared" si="3"/>
        <v>-6.683971447112258E-2</v>
      </c>
    </row>
    <row r="85" spans="2:7" ht="18" thickBot="1" x14ac:dyDescent="0.4">
      <c r="B85" s="38">
        <v>43647</v>
      </c>
      <c r="C85" s="34">
        <v>198.38</v>
      </c>
      <c r="D85">
        <f t="shared" si="2"/>
        <v>9.9911288534042964E-2</v>
      </c>
      <c r="F85" s="34">
        <v>30.55</v>
      </c>
      <c r="G85">
        <f t="shared" si="3"/>
        <v>6.2239221140472756E-2</v>
      </c>
    </row>
    <row r="86" spans="2:7" ht="18" thickBot="1" x14ac:dyDescent="0.4">
      <c r="B86" s="39">
        <v>43617</v>
      </c>
      <c r="C86" s="35">
        <v>201.06</v>
      </c>
      <c r="D86">
        <f t="shared" si="2"/>
        <v>1.3509426353463194E-2</v>
      </c>
      <c r="F86" s="35">
        <v>33.340000000000003</v>
      </c>
      <c r="G86">
        <f t="shared" si="3"/>
        <v>9.1325695581014887E-2</v>
      </c>
    </row>
    <row r="87" spans="2:7" ht="18" thickBot="1" x14ac:dyDescent="0.4">
      <c r="B87" s="38">
        <v>43586</v>
      </c>
      <c r="C87" s="34">
        <v>204.51</v>
      </c>
      <c r="D87">
        <f t="shared" si="2"/>
        <v>1.7159056997910982E-2</v>
      </c>
      <c r="F87" s="34">
        <v>33.65</v>
      </c>
      <c r="G87">
        <f t="shared" si="3"/>
        <v>9.2981403719254452E-3</v>
      </c>
    </row>
    <row r="88" spans="2:7" ht="18" thickBot="1" x14ac:dyDescent="0.4">
      <c r="B88" s="39">
        <v>43556</v>
      </c>
      <c r="C88" s="35">
        <v>217.09</v>
      </c>
      <c r="D88">
        <f t="shared" si="2"/>
        <v>6.1512884455527939E-2</v>
      </c>
      <c r="F88" s="35">
        <v>33.49</v>
      </c>
      <c r="G88">
        <f t="shared" si="3"/>
        <v>-4.7548291233282525E-3</v>
      </c>
    </row>
    <row r="89" spans="2:7" ht="18" thickBot="1" x14ac:dyDescent="0.4">
      <c r="B89" s="38">
        <v>43525</v>
      </c>
      <c r="C89" s="34">
        <v>214.14</v>
      </c>
      <c r="D89">
        <f t="shared" si="2"/>
        <v>-1.3588834124096061E-2</v>
      </c>
      <c r="F89" s="34">
        <v>33.549999999999997</v>
      </c>
      <c r="G89">
        <f t="shared" si="3"/>
        <v>1.7915795759926301E-3</v>
      </c>
    </row>
    <row r="90" spans="2:7" ht="18" thickBot="1" x14ac:dyDescent="0.4">
      <c r="B90" s="39">
        <v>43497</v>
      </c>
      <c r="C90" s="35">
        <v>198.87</v>
      </c>
      <c r="D90">
        <f t="shared" si="2"/>
        <v>-7.1308489773045602E-2</v>
      </c>
      <c r="F90" s="35">
        <v>30.61</v>
      </c>
      <c r="G90">
        <f t="shared" si="3"/>
        <v>-8.7630402384500705E-2</v>
      </c>
    </row>
    <row r="91" spans="2:7" ht="18" thickBot="1" x14ac:dyDescent="0.4">
      <c r="B91" s="38">
        <v>43466</v>
      </c>
      <c r="C91" s="34">
        <v>200.74</v>
      </c>
      <c r="D91">
        <f t="shared" si="2"/>
        <v>9.4031276713431033E-3</v>
      </c>
      <c r="F91" s="34">
        <v>29.4</v>
      </c>
      <c r="G91">
        <f t="shared" si="3"/>
        <v>-3.9529565501470132E-2</v>
      </c>
    </row>
    <row r="92" spans="2:7" ht="18" thickBot="1" x14ac:dyDescent="0.4">
      <c r="B92" s="39">
        <v>43435</v>
      </c>
      <c r="C92" s="35">
        <v>202.9</v>
      </c>
      <c r="D92">
        <f t="shared" si="2"/>
        <v>1.0760187306964264E-2</v>
      </c>
      <c r="F92" s="35">
        <v>31.29</v>
      </c>
      <c r="G92">
        <f t="shared" si="3"/>
        <v>6.4285714285714279E-2</v>
      </c>
    </row>
    <row r="93" spans="2:7" ht="18" thickBot="1" x14ac:dyDescent="0.4">
      <c r="B93" s="38">
        <v>43405</v>
      </c>
      <c r="C93" s="34">
        <v>205.89</v>
      </c>
      <c r="D93">
        <f t="shared" si="2"/>
        <v>1.4736323311976163E-2</v>
      </c>
      <c r="F93" s="34">
        <v>31.4</v>
      </c>
      <c r="G93">
        <f t="shared" si="3"/>
        <v>3.5155001597955149E-3</v>
      </c>
    </row>
    <row r="94" spans="2:7" ht="18" thickBot="1" x14ac:dyDescent="0.4">
      <c r="B94" s="39">
        <v>43374</v>
      </c>
      <c r="C94" s="35">
        <v>201.78</v>
      </c>
      <c r="D94">
        <f t="shared" si="2"/>
        <v>-1.9962115692845672E-2</v>
      </c>
      <c r="F94" s="35">
        <v>27.77</v>
      </c>
      <c r="G94">
        <f t="shared" si="3"/>
        <v>-0.11560509554140119</v>
      </c>
    </row>
    <row r="95" spans="2:7" ht="18" thickBot="1" x14ac:dyDescent="0.4">
      <c r="B95" s="38">
        <v>43344</v>
      </c>
      <c r="C95" s="34">
        <v>214.5</v>
      </c>
      <c r="D95">
        <f t="shared" si="2"/>
        <v>6.303895331549203E-2</v>
      </c>
      <c r="F95" s="34">
        <v>30.59</v>
      </c>
      <c r="G95">
        <f t="shared" si="3"/>
        <v>0.1015484335613972</v>
      </c>
    </row>
    <row r="96" spans="2:7" ht="18" thickBot="1" x14ac:dyDescent="0.4">
      <c r="B96" s="39">
        <v>43313</v>
      </c>
      <c r="C96" s="35">
        <v>230.42</v>
      </c>
      <c r="D96">
        <f t="shared" si="2"/>
        <v>7.4219114219114202E-2</v>
      </c>
      <c r="F96" s="35">
        <v>33.590000000000003</v>
      </c>
      <c r="G96">
        <f t="shared" si="3"/>
        <v>9.8071265119320072E-2</v>
      </c>
    </row>
    <row r="97" spans="2:7" ht="18" thickBot="1" x14ac:dyDescent="0.4">
      <c r="B97" s="38">
        <v>43282</v>
      </c>
      <c r="C97" s="34">
        <v>214.46</v>
      </c>
      <c r="D97">
        <f t="shared" si="2"/>
        <v>-6.926482076208651E-2</v>
      </c>
      <c r="F97" s="34">
        <v>33.43</v>
      </c>
      <c r="G97">
        <f t="shared" si="3"/>
        <v>-4.7633224173861954E-3</v>
      </c>
    </row>
    <row r="98" spans="2:7" ht="18" thickBot="1" x14ac:dyDescent="0.4">
      <c r="B98" s="39">
        <v>43252</v>
      </c>
      <c r="C98" s="35">
        <v>191.77</v>
      </c>
      <c r="D98">
        <f t="shared" si="2"/>
        <v>-0.10580061549939379</v>
      </c>
      <c r="F98" s="35">
        <v>32.22</v>
      </c>
      <c r="G98">
        <f t="shared" si="3"/>
        <v>-3.6195034400239301E-2</v>
      </c>
    </row>
    <row r="99" spans="2:7" ht="18" thickBot="1" x14ac:dyDescent="0.4">
      <c r="B99" s="38">
        <v>43221</v>
      </c>
      <c r="C99" s="34">
        <v>195.7</v>
      </c>
      <c r="D99">
        <f t="shared" si="2"/>
        <v>2.0493299264744191E-2</v>
      </c>
      <c r="F99" s="34">
        <v>33.630000000000003</v>
      </c>
      <c r="G99">
        <f t="shared" si="3"/>
        <v>4.3761638733705865E-2</v>
      </c>
    </row>
    <row r="100" spans="2:7" ht="18" thickBot="1" x14ac:dyDescent="0.4">
      <c r="B100" s="39">
        <v>43191</v>
      </c>
      <c r="C100" s="35">
        <v>198.96</v>
      </c>
      <c r="D100">
        <f t="shared" si="2"/>
        <v>1.665815022994388E-2</v>
      </c>
      <c r="F100" s="35">
        <v>34.130000000000003</v>
      </c>
      <c r="G100">
        <f t="shared" si="3"/>
        <v>1.4867677668748192E-2</v>
      </c>
    </row>
    <row r="101" spans="2:7" ht="18" thickBot="1" x14ac:dyDescent="0.4">
      <c r="B101" s="38">
        <v>43160</v>
      </c>
      <c r="C101" s="34">
        <v>180.61</v>
      </c>
      <c r="D101">
        <f t="shared" si="2"/>
        <v>-9.2229593888218719E-2</v>
      </c>
      <c r="F101" s="34">
        <v>34.44</v>
      </c>
      <c r="G101">
        <f t="shared" si="3"/>
        <v>9.082918253735528E-3</v>
      </c>
    </row>
    <row r="102" spans="2:7" ht="18" thickBot="1" x14ac:dyDescent="0.4">
      <c r="B102" s="39">
        <v>43132</v>
      </c>
      <c r="C102" s="35">
        <v>187.37</v>
      </c>
      <c r="D102">
        <f t="shared" si="2"/>
        <v>3.7428713803222324E-2</v>
      </c>
      <c r="F102" s="35">
        <v>33.54</v>
      </c>
      <c r="G102">
        <f t="shared" si="3"/>
        <v>-2.6132404181184676E-2</v>
      </c>
    </row>
    <row r="103" spans="2:7" ht="18" thickBot="1" x14ac:dyDescent="0.4">
      <c r="B103" s="38">
        <v>43101</v>
      </c>
      <c r="C103" s="34">
        <v>191.85</v>
      </c>
      <c r="D103">
        <f t="shared" si="2"/>
        <v>2.3909910871537488E-2</v>
      </c>
      <c r="F103" s="34">
        <v>33.32</v>
      </c>
      <c r="G103">
        <f t="shared" si="3"/>
        <v>-6.5593321407274585E-3</v>
      </c>
    </row>
    <row r="104" spans="2:7" ht="18" thickBot="1" x14ac:dyDescent="0.4">
      <c r="B104" s="40">
        <v>43070</v>
      </c>
      <c r="C104" s="36">
        <v>186.09</v>
      </c>
      <c r="D104">
        <f t="shared" si="2"/>
        <v>-3.0023455824863099E-2</v>
      </c>
      <c r="F104" s="36">
        <v>35.86</v>
      </c>
      <c r="G104">
        <f t="shared" si="3"/>
        <v>7.623049219687883E-2</v>
      </c>
    </row>
    <row r="105" spans="2:7" ht="18" thickBot="1" x14ac:dyDescent="0.4">
      <c r="B105" s="38">
        <v>43040</v>
      </c>
      <c r="C105" s="34">
        <v>181</v>
      </c>
      <c r="D105">
        <f t="shared" si="2"/>
        <v>-2.7352356386694643E-2</v>
      </c>
      <c r="F105" s="34">
        <v>54.84</v>
      </c>
      <c r="G105">
        <f t="shared" si="3"/>
        <v>0.52928053541550479</v>
      </c>
    </row>
    <row r="106" spans="2:7" ht="18" thickBot="1" x14ac:dyDescent="0.4">
      <c r="B106" s="39">
        <v>43009</v>
      </c>
      <c r="C106" s="35">
        <v>187.82</v>
      </c>
      <c r="D106">
        <f t="shared" si="2"/>
        <v>3.7679558011049608E-2</v>
      </c>
      <c r="F106" s="35">
        <v>55.17</v>
      </c>
      <c r="G106">
        <f t="shared" si="3"/>
        <v>6.0175054704594277E-3</v>
      </c>
    </row>
    <row r="107" spans="2:7" ht="18" thickBot="1" x14ac:dyDescent="0.4">
      <c r="B107" s="38">
        <v>42979</v>
      </c>
      <c r="C107" s="34">
        <v>182.59</v>
      </c>
      <c r="D107">
        <f t="shared" si="2"/>
        <v>-2.7845809817910738E-2</v>
      </c>
      <c r="F107" s="34">
        <v>55.25</v>
      </c>
      <c r="G107">
        <f t="shared" si="3"/>
        <v>1.4500634402754287E-3</v>
      </c>
    </row>
    <row r="108" spans="2:7" ht="18" thickBot="1" x14ac:dyDescent="0.4">
      <c r="B108" s="39">
        <v>42948</v>
      </c>
      <c r="C108" s="35">
        <v>199.52</v>
      </c>
      <c r="D108">
        <f t="shared" si="2"/>
        <v>9.2721397666904126E-2</v>
      </c>
      <c r="F108" s="35">
        <v>55.26</v>
      </c>
      <c r="G108">
        <f t="shared" si="3"/>
        <v>1.8099547511307712E-4</v>
      </c>
    </row>
    <row r="109" spans="2:7" ht="18" thickBot="1" x14ac:dyDescent="0.4">
      <c r="B109" s="38">
        <v>42917</v>
      </c>
      <c r="C109" s="34">
        <v>201.64</v>
      </c>
      <c r="D109">
        <f t="shared" si="2"/>
        <v>1.0625501202886856E-2</v>
      </c>
      <c r="F109" s="34">
        <v>56.21</v>
      </c>
      <c r="G109">
        <f t="shared" si="3"/>
        <v>1.7191458559536743E-2</v>
      </c>
    </row>
    <row r="110" spans="2:7" ht="18" thickBot="1" x14ac:dyDescent="0.4">
      <c r="B110" s="39">
        <v>42887</v>
      </c>
      <c r="C110" s="35">
        <v>228.79</v>
      </c>
      <c r="D110">
        <f t="shared" si="2"/>
        <v>0.13464590359055739</v>
      </c>
      <c r="F110" s="35">
        <v>57.21</v>
      </c>
      <c r="G110">
        <f t="shared" si="3"/>
        <v>1.7790428749332898E-2</v>
      </c>
    </row>
    <row r="111" spans="2:7" ht="18" thickBot="1" x14ac:dyDescent="0.4">
      <c r="B111" s="38">
        <v>42856</v>
      </c>
      <c r="C111" s="34">
        <v>217.13</v>
      </c>
      <c r="D111">
        <f t="shared" si="2"/>
        <v>-5.0963765898859203E-2</v>
      </c>
      <c r="F111" s="34">
        <v>57.82</v>
      </c>
      <c r="G111">
        <f t="shared" si="3"/>
        <v>1.0662471595874745E-2</v>
      </c>
    </row>
    <row r="112" spans="2:7" ht="18" thickBot="1" x14ac:dyDescent="0.4">
      <c r="B112" s="39">
        <v>42826</v>
      </c>
      <c r="C112" s="35">
        <v>193.6</v>
      </c>
      <c r="D112">
        <f t="shared" si="2"/>
        <v>-0.10836825864689359</v>
      </c>
      <c r="F112" s="35">
        <v>58.18</v>
      </c>
      <c r="G112">
        <f t="shared" si="3"/>
        <v>6.2262193012798672E-3</v>
      </c>
    </row>
    <row r="113" spans="2:7" ht="18" thickBot="1" x14ac:dyDescent="0.4">
      <c r="B113" s="38">
        <v>42795</v>
      </c>
      <c r="C113" s="34">
        <v>195.2</v>
      </c>
      <c r="D113">
        <f t="shared" si="2"/>
        <v>8.2644628099173278E-3</v>
      </c>
      <c r="F113" s="34">
        <v>58.02</v>
      </c>
      <c r="G113">
        <f t="shared" si="3"/>
        <v>-2.7500859401855537E-3</v>
      </c>
    </row>
    <row r="114" spans="2:7" ht="18" thickBot="1" x14ac:dyDescent="0.4">
      <c r="B114" s="39">
        <v>42767</v>
      </c>
      <c r="C114" s="35">
        <v>182.59</v>
      </c>
      <c r="D114">
        <f t="shared" si="2"/>
        <v>-6.460040983606552E-2</v>
      </c>
      <c r="F114" s="35">
        <v>57.78</v>
      </c>
      <c r="G114">
        <f t="shared" si="3"/>
        <v>-4.1365046535677408E-3</v>
      </c>
    </row>
    <row r="115" spans="2:7" ht="18" thickBot="1" x14ac:dyDescent="0.4">
      <c r="B115" s="38">
        <v>42736</v>
      </c>
      <c r="C115" s="34">
        <v>179.74</v>
      </c>
      <c r="D115">
        <f t="shared" si="2"/>
        <v>-1.5608740894901163E-2</v>
      </c>
      <c r="F115" s="34">
        <v>58.43</v>
      </c>
      <c r="G115">
        <f t="shared" si="3"/>
        <v>1.1249567324333576E-2</v>
      </c>
    </row>
    <row r="116" spans="2:7" ht="18" thickBot="1" x14ac:dyDescent="0.4">
      <c r="B116" s="39">
        <v>42705</v>
      </c>
      <c r="C116" s="35">
        <v>168.28</v>
      </c>
      <c r="D116">
        <f t="shared" si="2"/>
        <v>-6.3758762657171508E-2</v>
      </c>
      <c r="F116" s="35">
        <v>57.37</v>
      </c>
      <c r="G116">
        <f t="shared" si="3"/>
        <v>-1.8141365736779047E-2</v>
      </c>
    </row>
    <row r="117" spans="2:7" ht="18" thickBot="1" x14ac:dyDescent="0.4">
      <c r="B117" s="38">
        <v>42675</v>
      </c>
      <c r="C117" s="34">
        <v>161.91</v>
      </c>
      <c r="D117">
        <f t="shared" si="2"/>
        <v>-3.785357737104833E-2</v>
      </c>
      <c r="F117" s="34">
        <v>58.4</v>
      </c>
      <c r="G117">
        <f t="shared" si="3"/>
        <v>1.7953634303643051E-2</v>
      </c>
    </row>
    <row r="118" spans="2:7" ht="18" thickBot="1" x14ac:dyDescent="0.4">
      <c r="B118" s="39">
        <v>42644</v>
      </c>
      <c r="C118" s="35">
        <v>168.28</v>
      </c>
      <c r="D118">
        <f t="shared" si="2"/>
        <v>3.934284479031569E-2</v>
      </c>
      <c r="F118" s="35">
        <v>58.41</v>
      </c>
      <c r="G118">
        <f t="shared" si="3"/>
        <v>1.7123287671227949E-4</v>
      </c>
    </row>
    <row r="119" spans="2:7" ht="18" thickBot="1" x14ac:dyDescent="0.4">
      <c r="B119" s="38">
        <v>42614</v>
      </c>
      <c r="C119" s="34">
        <v>168.07</v>
      </c>
      <c r="D119">
        <f t="shared" si="2"/>
        <v>-1.2479201331114798E-3</v>
      </c>
      <c r="F119" s="34">
        <v>57.99</v>
      </c>
      <c r="G119">
        <f t="shared" si="3"/>
        <v>-7.1905495634307925E-3</v>
      </c>
    </row>
    <row r="120" spans="2:7" ht="18" thickBot="1" x14ac:dyDescent="0.4">
      <c r="B120" s="39">
        <v>42583</v>
      </c>
      <c r="C120" s="35">
        <v>181.09</v>
      </c>
      <c r="D120">
        <f t="shared" si="2"/>
        <v>7.7467721782590759E-2</v>
      </c>
      <c r="F120" s="35">
        <v>58.12</v>
      </c>
      <c r="G120">
        <f t="shared" si="3"/>
        <v>2.2417658216933312E-3</v>
      </c>
    </row>
    <row r="121" spans="2:7" ht="18" thickBot="1" x14ac:dyDescent="0.4">
      <c r="B121" s="38">
        <v>42552</v>
      </c>
      <c r="C121" s="34">
        <v>175.8</v>
      </c>
      <c r="D121">
        <f t="shared" si="2"/>
        <v>-2.921199403611463E-2</v>
      </c>
      <c r="F121" s="34">
        <v>58.46</v>
      </c>
      <c r="G121">
        <f t="shared" si="3"/>
        <v>5.8499655884378665E-3</v>
      </c>
    </row>
    <row r="122" spans="2:7" ht="18" thickBot="1" x14ac:dyDescent="0.4">
      <c r="B122" s="39">
        <v>42522</v>
      </c>
      <c r="C122" s="35">
        <v>171.03</v>
      </c>
      <c r="D122">
        <f t="shared" si="2"/>
        <v>-2.7133105802047863E-2</v>
      </c>
      <c r="F122" s="35">
        <v>58.61</v>
      </c>
      <c r="G122">
        <f t="shared" si="3"/>
        <v>2.5658569962367928E-3</v>
      </c>
    </row>
    <row r="123" spans="2:7" ht="18" thickBot="1" x14ac:dyDescent="0.4">
      <c r="B123" s="38">
        <v>42491</v>
      </c>
      <c r="C123" s="34">
        <v>162.97999999999999</v>
      </c>
      <c r="D123">
        <f t="shared" si="2"/>
        <v>-4.7067765889025392E-2</v>
      </c>
      <c r="F123" s="34">
        <v>58.28</v>
      </c>
      <c r="G123">
        <f t="shared" si="3"/>
        <v>-5.6304384917249539E-3</v>
      </c>
    </row>
    <row r="124" spans="2:7" ht="18" thickBot="1" x14ac:dyDescent="0.4">
      <c r="B124" s="40">
        <v>42461</v>
      </c>
      <c r="C124" s="36">
        <v>147.29</v>
      </c>
      <c r="D124">
        <f t="shared" si="2"/>
        <v>-9.6269480917903993E-2</v>
      </c>
      <c r="F124" s="35">
        <v>57.89</v>
      </c>
      <c r="G124">
        <f t="shared" si="3"/>
        <v>-6.691832532601194E-3</v>
      </c>
    </row>
    <row r="129" spans="2:6" x14ac:dyDescent="0.35">
      <c r="B129" t="s">
        <v>111</v>
      </c>
      <c r="C129" s="30">
        <f>0.11*(1-0.25)</f>
        <v>8.2500000000000004E-2</v>
      </c>
    </row>
    <row r="130" spans="2:6" x14ac:dyDescent="0.35">
      <c r="B130" t="s">
        <v>112</v>
      </c>
      <c r="C130" s="30">
        <f>0.0739+0.52*0.08</f>
        <v>0.11549999999999999</v>
      </c>
      <c r="E130" t="s">
        <v>116</v>
      </c>
      <c r="F130" s="30">
        <f>C130*C134+ (C129*C135)</f>
        <v>0.11548404719558435</v>
      </c>
    </row>
    <row r="131" spans="2:6" x14ac:dyDescent="0.35">
      <c r="B131" t="s">
        <v>104</v>
      </c>
      <c r="C131" s="45">
        <f>'Profit-Loss'!K40</f>
        <v>512765.24750000006</v>
      </c>
    </row>
    <row r="132" spans="2:6" x14ac:dyDescent="0.35">
      <c r="B132" t="s">
        <v>105</v>
      </c>
      <c r="C132">
        <v>248</v>
      </c>
    </row>
    <row r="133" spans="2:6" x14ac:dyDescent="0.35">
      <c r="B133" t="s">
        <v>113</v>
      </c>
      <c r="C133" s="45">
        <f>SUM(C131:C132)</f>
        <v>513013.24750000006</v>
      </c>
    </row>
    <row r="134" spans="2:6" x14ac:dyDescent="0.35">
      <c r="B134" t="s">
        <v>114</v>
      </c>
      <c r="C134" s="43">
        <f>C131/C133</f>
        <v>0.99951658168437452</v>
      </c>
    </row>
    <row r="135" spans="2:6" x14ac:dyDescent="0.35">
      <c r="B135" t="s">
        <v>115</v>
      </c>
      <c r="C135" s="42">
        <f>C132/C133</f>
        <v>4.8341831562546532E-4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83" zoomScaleNormal="120" zoomScalePageLayoutView="120" workbookViewId="0">
      <pane xSplit="1" ySplit="1" topLeftCell="B3" activePane="bottomRight" state="frozen"/>
      <selection activeCell="C4" sqref="C4"/>
      <selection pane="topRight" activeCell="C4" sqref="C4"/>
      <selection pane="bottomLeft" activeCell="C4" sqref="C4"/>
      <selection pane="bottomRight" activeCell="A67" sqref="A67"/>
    </sheetView>
  </sheetViews>
  <sheetFormatPr defaultColWidth="8.81640625" defaultRowHeight="14.5" x14ac:dyDescent="0.35"/>
  <cols>
    <col min="1" max="1" width="27.6328125" style="4" bestFit="1" customWidth="1"/>
    <col min="2" max="11" width="13.453125" style="4" bestFit="1" customWidth="1"/>
    <col min="12" max="16384" width="8.81640625" style="4"/>
  </cols>
  <sheetData>
    <row r="1" spans="1:11" s="1" customFormat="1" x14ac:dyDescent="0.35">
      <c r="A1" s="1" t="s">
        <v>0</v>
      </c>
      <c r="B1" s="1" t="s">
        <v>54</v>
      </c>
      <c r="E1" s="94" t="str">
        <f>IF(B2&lt;&gt;B3, "A NEW VERSION OF THE WORKSHEET IS AVAILABLE", "")</f>
        <v/>
      </c>
      <c r="F1" s="94"/>
      <c r="G1" s="94"/>
      <c r="H1" s="94"/>
      <c r="I1" s="94"/>
      <c r="J1" s="94"/>
      <c r="K1" s="94"/>
    </row>
    <row r="2" spans="1:11" x14ac:dyDescent="0.35">
      <c r="A2" s="1" t="s">
        <v>52</v>
      </c>
      <c r="B2" s="4">
        <v>2.1</v>
      </c>
      <c r="E2" s="95" t="s">
        <v>36</v>
      </c>
      <c r="F2" s="95"/>
      <c r="G2" s="95"/>
      <c r="H2" s="95"/>
      <c r="I2" s="95"/>
      <c r="J2" s="95"/>
      <c r="K2" s="95"/>
    </row>
    <row r="3" spans="1:11" x14ac:dyDescent="0.35">
      <c r="A3" s="1" t="s">
        <v>53</v>
      </c>
      <c r="B3" s="4">
        <v>2.1</v>
      </c>
    </row>
    <row r="4" spans="1:11" x14ac:dyDescent="0.35">
      <c r="A4" s="1"/>
    </row>
    <row r="5" spans="1:11" x14ac:dyDescent="0.35">
      <c r="A5" s="1" t="s">
        <v>55</v>
      </c>
    </row>
    <row r="6" spans="1:11" x14ac:dyDescent="0.35">
      <c r="A6" s="4" t="s">
        <v>42</v>
      </c>
      <c r="B6" s="4">
        <f>IF(B9&gt;0, B9/B8, 0)</f>
        <v>1252.9229254116888</v>
      </c>
    </row>
    <row r="7" spans="1:11" x14ac:dyDescent="0.35">
      <c r="A7" s="4" t="s">
        <v>31</v>
      </c>
      <c r="B7">
        <v>1</v>
      </c>
    </row>
    <row r="8" spans="1:11" x14ac:dyDescent="0.35">
      <c r="A8" s="4" t="s">
        <v>43</v>
      </c>
      <c r="B8">
        <v>309.7</v>
      </c>
    </row>
    <row r="9" spans="1:11" x14ac:dyDescent="0.35">
      <c r="A9" s="4" t="s">
        <v>70</v>
      </c>
      <c r="B9">
        <v>388030.23</v>
      </c>
    </row>
    <row r="15" spans="1:11" x14ac:dyDescent="0.35">
      <c r="A15" s="1" t="s">
        <v>37</v>
      </c>
    </row>
    <row r="16" spans="1:11" s="18" customFormat="1" x14ac:dyDescent="0.35">
      <c r="A16" s="17" t="s">
        <v>38</v>
      </c>
      <c r="B16" s="12">
        <v>42460</v>
      </c>
      <c r="C16" s="12">
        <v>42825</v>
      </c>
      <c r="D16" s="12">
        <v>43190</v>
      </c>
      <c r="E16" s="12">
        <v>43555</v>
      </c>
      <c r="F16" s="12">
        <v>43921</v>
      </c>
      <c r="G16" s="12">
        <v>44286</v>
      </c>
      <c r="H16" s="12">
        <v>44651</v>
      </c>
      <c r="I16" s="12">
        <v>45016</v>
      </c>
      <c r="J16" s="12">
        <v>45382</v>
      </c>
      <c r="K16" s="12">
        <v>45747</v>
      </c>
    </row>
    <row r="17" spans="1:11" s="6" customFormat="1" x14ac:dyDescent="0.35">
      <c r="A17" s="6" t="s">
        <v>6</v>
      </c>
      <c r="B17">
        <v>39192.1</v>
      </c>
      <c r="C17">
        <v>42767.6</v>
      </c>
      <c r="D17">
        <v>43448.94</v>
      </c>
      <c r="E17">
        <v>48339.58</v>
      </c>
      <c r="F17">
        <v>49387.7</v>
      </c>
      <c r="G17">
        <v>49257.45</v>
      </c>
      <c r="H17">
        <v>60644.54</v>
      </c>
      <c r="I17">
        <v>70919.03</v>
      </c>
      <c r="J17">
        <v>67931.94</v>
      </c>
      <c r="K17">
        <v>75323.34</v>
      </c>
    </row>
    <row r="18" spans="1:11" s="6" customFormat="1" x14ac:dyDescent="0.35">
      <c r="A18" s="4" t="s">
        <v>71</v>
      </c>
      <c r="B18">
        <v>13763.88</v>
      </c>
      <c r="C18">
        <v>15456.59</v>
      </c>
      <c r="D18">
        <v>14827.72</v>
      </c>
      <c r="E18">
        <v>17623.52</v>
      </c>
      <c r="F18">
        <v>18048.599999999999</v>
      </c>
      <c r="G18">
        <v>20776.71</v>
      </c>
      <c r="H18">
        <v>27071.07</v>
      </c>
      <c r="I18">
        <v>29364.36</v>
      </c>
      <c r="J18">
        <v>27348.57</v>
      </c>
      <c r="K18">
        <v>32704.37</v>
      </c>
    </row>
    <row r="19" spans="1:11" s="6" customFormat="1" x14ac:dyDescent="0.35">
      <c r="A19" s="4" t="s">
        <v>72</v>
      </c>
      <c r="B19">
        <v>195.38</v>
      </c>
      <c r="C19">
        <v>-592.57000000000005</v>
      </c>
      <c r="D19">
        <v>-1027.76</v>
      </c>
      <c r="E19">
        <v>203.19</v>
      </c>
      <c r="F19">
        <v>703.13</v>
      </c>
      <c r="G19">
        <v>645.27</v>
      </c>
      <c r="H19">
        <v>686</v>
      </c>
      <c r="I19">
        <v>358.59</v>
      </c>
      <c r="J19">
        <v>367.77</v>
      </c>
      <c r="K19">
        <v>725.65</v>
      </c>
    </row>
    <row r="20" spans="1:11" s="6" customFormat="1" x14ac:dyDescent="0.35">
      <c r="A20" s="4" t="s">
        <v>73</v>
      </c>
      <c r="B20">
        <v>571.88</v>
      </c>
      <c r="C20">
        <v>584.33000000000004</v>
      </c>
      <c r="D20">
        <v>653.5</v>
      </c>
      <c r="E20">
        <v>746.73</v>
      </c>
      <c r="F20">
        <v>780.85</v>
      </c>
      <c r="G20">
        <v>699.56</v>
      </c>
      <c r="H20">
        <v>889.77</v>
      </c>
      <c r="I20">
        <v>1232.3399999999999</v>
      </c>
      <c r="J20">
        <v>952.9</v>
      </c>
      <c r="K20">
        <v>975.35</v>
      </c>
    </row>
    <row r="21" spans="1:11" s="6" customFormat="1" x14ac:dyDescent="0.35">
      <c r="A21" s="4" t="s">
        <v>74</v>
      </c>
      <c r="B21">
        <v>1581.59</v>
      </c>
      <c r="C21">
        <v>1683.9</v>
      </c>
      <c r="D21">
        <v>1697.62</v>
      </c>
      <c r="E21">
        <v>1871.01</v>
      </c>
      <c r="F21">
        <v>1908.29</v>
      </c>
      <c r="G21">
        <v>1587.18</v>
      </c>
      <c r="H21">
        <v>1887.67</v>
      </c>
      <c r="I21">
        <v>2327.8000000000002</v>
      </c>
      <c r="J21">
        <v>2183.7600000000002</v>
      </c>
      <c r="K21">
        <v>2345.36</v>
      </c>
    </row>
    <row r="22" spans="1:11" s="6" customFormat="1" x14ac:dyDescent="0.35">
      <c r="A22" s="4" t="s">
        <v>75</v>
      </c>
      <c r="B22">
        <v>3440.97</v>
      </c>
      <c r="C22">
        <v>3631.73</v>
      </c>
      <c r="D22">
        <v>3760.9</v>
      </c>
      <c r="E22">
        <v>4177.88</v>
      </c>
      <c r="F22">
        <v>4295.79</v>
      </c>
      <c r="G22">
        <v>4463.33</v>
      </c>
      <c r="H22">
        <v>4890.55</v>
      </c>
      <c r="I22">
        <v>5736.22</v>
      </c>
      <c r="J22">
        <v>5548.53</v>
      </c>
      <c r="K22">
        <v>6169.78</v>
      </c>
    </row>
    <row r="23" spans="1:11" s="6" customFormat="1" x14ac:dyDescent="0.35">
      <c r="A23" s="4" t="s">
        <v>76</v>
      </c>
      <c r="B23">
        <v>4261.78</v>
      </c>
      <c r="C23">
        <v>4179.74</v>
      </c>
      <c r="D23">
        <v>3954.87</v>
      </c>
      <c r="E23">
        <v>4546.3900000000003</v>
      </c>
      <c r="F23">
        <v>4488.63</v>
      </c>
      <c r="G23">
        <v>4236.7700000000004</v>
      </c>
      <c r="H23">
        <v>4858.38</v>
      </c>
      <c r="I23">
        <v>5604.08</v>
      </c>
      <c r="J23">
        <v>5312.45</v>
      </c>
      <c r="K23">
        <v>5793.29</v>
      </c>
    </row>
    <row r="24" spans="1:11" s="6" customFormat="1" x14ac:dyDescent="0.35">
      <c r="A24" s="4" t="s">
        <v>77</v>
      </c>
      <c r="B24">
        <v>1235.8900000000001</v>
      </c>
      <c r="C24">
        <v>1169.23</v>
      </c>
      <c r="D24">
        <v>1005.98</v>
      </c>
      <c r="E24">
        <v>1039.8499999999999</v>
      </c>
      <c r="F24">
        <v>1225.1300000000001</v>
      </c>
      <c r="G24">
        <v>1074.3900000000001</v>
      </c>
      <c r="H24">
        <v>1109.95</v>
      </c>
      <c r="I24">
        <v>1308.56</v>
      </c>
      <c r="J24">
        <v>1765.97</v>
      </c>
      <c r="K24">
        <v>2221.39</v>
      </c>
    </row>
    <row r="25" spans="1:11" s="6" customFormat="1" x14ac:dyDescent="0.35">
      <c r="A25" s="6" t="s">
        <v>9</v>
      </c>
      <c r="B25">
        <v>1483.11</v>
      </c>
      <c r="C25">
        <v>1758.63</v>
      </c>
      <c r="D25">
        <v>2239.81</v>
      </c>
      <c r="E25">
        <v>2080.44</v>
      </c>
      <c r="F25">
        <v>2417.3200000000002</v>
      </c>
      <c r="G25">
        <v>2576.9499999999998</v>
      </c>
      <c r="H25">
        <v>1909.72</v>
      </c>
      <c r="I25">
        <v>2097.64</v>
      </c>
      <c r="J25">
        <v>3330.45</v>
      </c>
      <c r="K25">
        <v>17794.88</v>
      </c>
    </row>
    <row r="26" spans="1:11" s="6" customFormat="1" x14ac:dyDescent="0.35">
      <c r="A26" s="6" t="s">
        <v>10</v>
      </c>
      <c r="B26">
        <v>1077.4000000000001</v>
      </c>
      <c r="C26">
        <v>1152.79</v>
      </c>
      <c r="D26">
        <v>1236.28</v>
      </c>
      <c r="E26">
        <v>1396.61</v>
      </c>
      <c r="F26">
        <v>1644.91</v>
      </c>
      <c r="G26">
        <v>1645.59</v>
      </c>
      <c r="H26">
        <v>1732.41</v>
      </c>
      <c r="I26">
        <v>1809.01</v>
      </c>
      <c r="J26">
        <v>1518.05</v>
      </c>
      <c r="K26">
        <v>1646.32</v>
      </c>
    </row>
    <row r="27" spans="1:11" s="6" customFormat="1" x14ac:dyDescent="0.35">
      <c r="A27" s="6" t="s">
        <v>11</v>
      </c>
      <c r="B27">
        <v>78.13</v>
      </c>
      <c r="C27">
        <v>49.03</v>
      </c>
      <c r="D27">
        <v>115.01</v>
      </c>
      <c r="E27">
        <v>71.400000000000006</v>
      </c>
      <c r="F27">
        <v>81.38</v>
      </c>
      <c r="G27">
        <v>57.97</v>
      </c>
      <c r="H27">
        <v>59.99</v>
      </c>
      <c r="I27">
        <v>77.77</v>
      </c>
      <c r="J27">
        <v>39.11</v>
      </c>
      <c r="K27">
        <v>45.06</v>
      </c>
    </row>
    <row r="28" spans="1:11" s="6" customFormat="1" x14ac:dyDescent="0.35">
      <c r="A28" s="6" t="s">
        <v>12</v>
      </c>
      <c r="B28">
        <v>14859.07</v>
      </c>
      <c r="C28">
        <v>16026.32</v>
      </c>
      <c r="D28">
        <v>17409.11</v>
      </c>
      <c r="E28">
        <v>19149.82</v>
      </c>
      <c r="F28">
        <v>20034.57</v>
      </c>
      <c r="G28">
        <v>17938.169999999998</v>
      </c>
      <c r="H28">
        <v>20740.47</v>
      </c>
      <c r="I28">
        <v>25915.119999999999</v>
      </c>
      <c r="J28">
        <v>26960.82</v>
      </c>
      <c r="K28">
        <v>41942.949999999997</v>
      </c>
    </row>
    <row r="29" spans="1:11" s="6" customFormat="1" x14ac:dyDescent="0.35">
      <c r="A29" s="6" t="s">
        <v>13</v>
      </c>
      <c r="B29">
        <v>5358.21</v>
      </c>
      <c r="C29">
        <v>5549.09</v>
      </c>
      <c r="D29">
        <v>5916.43</v>
      </c>
      <c r="E29">
        <v>6313.92</v>
      </c>
      <c r="F29">
        <v>4441.79</v>
      </c>
      <c r="G29">
        <v>4555.29</v>
      </c>
      <c r="H29">
        <v>5237.34</v>
      </c>
      <c r="I29">
        <v>6438.4</v>
      </c>
      <c r="J29">
        <v>6209.46</v>
      </c>
      <c r="K29">
        <v>6890.47</v>
      </c>
    </row>
    <row r="30" spans="1:11" s="6" customFormat="1" x14ac:dyDescent="0.35">
      <c r="A30" s="6" t="s">
        <v>14</v>
      </c>
      <c r="B30">
        <v>9344.4500000000007</v>
      </c>
      <c r="C30">
        <v>10289.44</v>
      </c>
      <c r="D30">
        <v>11271.2</v>
      </c>
      <c r="E30">
        <v>12592.33</v>
      </c>
      <c r="F30">
        <v>15306.23</v>
      </c>
      <c r="G30">
        <v>13161.19</v>
      </c>
      <c r="H30">
        <v>15242.66</v>
      </c>
      <c r="I30">
        <v>19191.66</v>
      </c>
      <c r="J30">
        <v>20458.78</v>
      </c>
      <c r="K30">
        <v>34746.629999999997</v>
      </c>
    </row>
    <row r="31" spans="1:11" s="6" customFormat="1" x14ac:dyDescent="0.35">
      <c r="A31" s="6" t="s">
        <v>61</v>
      </c>
      <c r="B31">
        <v>6840.12</v>
      </c>
      <c r="C31">
        <v>5770.02</v>
      </c>
      <c r="D31">
        <v>6285.21</v>
      </c>
      <c r="E31">
        <v>7048.7</v>
      </c>
      <c r="F31">
        <v>12476.58</v>
      </c>
      <c r="G31">
        <v>13231.96</v>
      </c>
      <c r="H31">
        <v>14171.8</v>
      </c>
      <c r="I31">
        <v>19263.400000000001</v>
      </c>
      <c r="J31">
        <v>17166.46</v>
      </c>
      <c r="K31">
        <v>17957.73</v>
      </c>
    </row>
    <row r="32" spans="1:11" s="6" customFormat="1" x14ac:dyDescent="0.35"/>
    <row r="33" spans="1:11" x14ac:dyDescent="0.35">
      <c r="A33" s="6"/>
    </row>
    <row r="34" spans="1:11" x14ac:dyDescent="0.35">
      <c r="A34" s="6" t="s">
        <v>86</v>
      </c>
      <c r="C34" s="4">
        <f>C17/B17-1</f>
        <v>9.1230120355888067E-2</v>
      </c>
      <c r="D34" s="4">
        <f t="shared" ref="D34:K34" si="0">D17/C17-1</f>
        <v>1.5931218960147486E-2</v>
      </c>
      <c r="E34" s="4">
        <f t="shared" si="0"/>
        <v>0.11256062863673999</v>
      </c>
      <c r="F34" s="4">
        <f t="shared" si="0"/>
        <v>2.1682439110972673E-2</v>
      </c>
      <c r="G34" s="4">
        <f t="shared" si="0"/>
        <v>-2.6372963308678443E-3</v>
      </c>
      <c r="H34" s="4">
        <f t="shared" si="0"/>
        <v>0.23117497962237188</v>
      </c>
      <c r="I34" s="4">
        <f t="shared" si="0"/>
        <v>0.1694215175842706</v>
      </c>
      <c r="J34" s="4">
        <f>J17/I17-1</f>
        <v>-4.2119724423754779E-2</v>
      </c>
      <c r="K34" s="4">
        <f t="shared" si="0"/>
        <v>0.10880596078957838</v>
      </c>
    </row>
    <row r="36" spans="1:11" x14ac:dyDescent="0.35">
      <c r="A36" s="6"/>
    </row>
    <row r="37" spans="1:11" x14ac:dyDescent="0.35">
      <c r="A37" s="6"/>
    </row>
    <row r="38" spans="1:11" x14ac:dyDescent="0.35">
      <c r="A38" s="6"/>
    </row>
    <row r="39" spans="1:11" x14ac:dyDescent="0.35">
      <c r="A39" s="6"/>
    </row>
    <row r="40" spans="1:11" x14ac:dyDescent="0.35">
      <c r="A40" s="1" t="s">
        <v>39</v>
      </c>
    </row>
    <row r="41" spans="1:11" s="18" customFormat="1" x14ac:dyDescent="0.35">
      <c r="A41" s="17" t="s">
        <v>38</v>
      </c>
      <c r="B41" s="12">
        <v>45199</v>
      </c>
      <c r="C41" s="12">
        <v>45291</v>
      </c>
      <c r="D41" s="12">
        <v>45382</v>
      </c>
      <c r="E41" s="12">
        <v>45473</v>
      </c>
      <c r="F41" s="12">
        <v>45565</v>
      </c>
      <c r="G41" s="12">
        <v>45657</v>
      </c>
      <c r="H41" s="12">
        <v>45747</v>
      </c>
      <c r="I41" s="12">
        <v>45838</v>
      </c>
      <c r="J41" s="12">
        <v>45930</v>
      </c>
      <c r="K41" s="12">
        <v>46022</v>
      </c>
    </row>
    <row r="42" spans="1:11" s="6" customFormat="1" x14ac:dyDescent="0.35">
      <c r="A42" s="6" t="s">
        <v>6</v>
      </c>
      <c r="B42">
        <v>17774.47</v>
      </c>
      <c r="C42">
        <v>17195.240000000002</v>
      </c>
      <c r="D42">
        <v>17037.8</v>
      </c>
      <c r="E42">
        <v>17777.810000000001</v>
      </c>
      <c r="F42">
        <v>19990.36</v>
      </c>
      <c r="G42">
        <v>18790.169999999998</v>
      </c>
      <c r="H42">
        <v>18765</v>
      </c>
      <c r="I42">
        <v>21494.79</v>
      </c>
      <c r="J42">
        <v>19501.63</v>
      </c>
      <c r="K42">
        <v>20047.3</v>
      </c>
    </row>
    <row r="43" spans="1:11" s="6" customFormat="1" x14ac:dyDescent="0.35">
      <c r="A43" s="6" t="s">
        <v>7</v>
      </c>
      <c r="B43">
        <v>11320.23</v>
      </c>
      <c r="C43">
        <v>10985.01</v>
      </c>
      <c r="D43">
        <v>10735.73</v>
      </c>
      <c r="E43">
        <v>11232.97</v>
      </c>
      <c r="F43">
        <v>13438.28</v>
      </c>
      <c r="G43">
        <v>12428.27</v>
      </c>
      <c r="H43">
        <v>12245.61</v>
      </c>
      <c r="I43">
        <v>14678.32</v>
      </c>
      <c r="J43">
        <v>12806.94</v>
      </c>
      <c r="K43">
        <v>13164.78</v>
      </c>
    </row>
    <row r="44" spans="1:11" s="6" customFormat="1" x14ac:dyDescent="0.35">
      <c r="A44" s="6" t="s">
        <v>9</v>
      </c>
      <c r="B44">
        <v>673.5</v>
      </c>
      <c r="C44">
        <v>820.26</v>
      </c>
      <c r="D44">
        <v>868</v>
      </c>
      <c r="E44">
        <v>771.13</v>
      </c>
      <c r="F44">
        <v>690.31</v>
      </c>
      <c r="G44">
        <v>803.4</v>
      </c>
      <c r="H44">
        <v>15391.28</v>
      </c>
      <c r="I44">
        <v>750.97</v>
      </c>
      <c r="J44">
        <v>738.84</v>
      </c>
      <c r="K44">
        <v>321.85000000000002</v>
      </c>
    </row>
    <row r="45" spans="1:11" s="6" customFormat="1" x14ac:dyDescent="0.35">
      <c r="A45" s="6" t="s">
        <v>10</v>
      </c>
      <c r="B45">
        <v>453.04</v>
      </c>
      <c r="C45">
        <v>384.04</v>
      </c>
      <c r="D45">
        <v>385.09</v>
      </c>
      <c r="E45">
        <v>403.13</v>
      </c>
      <c r="F45">
        <v>416.18</v>
      </c>
      <c r="G45">
        <v>415.98</v>
      </c>
      <c r="H45">
        <v>411.03</v>
      </c>
      <c r="I45">
        <v>422.96</v>
      </c>
      <c r="J45">
        <v>434.8</v>
      </c>
      <c r="K45">
        <v>430.82</v>
      </c>
    </row>
    <row r="46" spans="1:11" s="6" customFormat="1" x14ac:dyDescent="0.35">
      <c r="A46" s="6" t="s">
        <v>11</v>
      </c>
      <c r="B46">
        <v>9.8699999999999992</v>
      </c>
      <c r="C46">
        <v>11.94</v>
      </c>
      <c r="D46">
        <v>10.72</v>
      </c>
      <c r="E46">
        <v>9.6</v>
      </c>
      <c r="F46">
        <v>14.73</v>
      </c>
      <c r="G46">
        <v>9.82</v>
      </c>
      <c r="H46">
        <v>10.91</v>
      </c>
      <c r="I46">
        <v>16.47</v>
      </c>
      <c r="J46">
        <v>20.05</v>
      </c>
      <c r="K46">
        <v>19.47</v>
      </c>
    </row>
    <row r="47" spans="1:11" s="6" customFormat="1" x14ac:dyDescent="0.35">
      <c r="A47" s="6" t="s">
        <v>12</v>
      </c>
      <c r="B47">
        <v>6664.83</v>
      </c>
      <c r="C47">
        <v>6634.51</v>
      </c>
      <c r="D47">
        <v>6774.26</v>
      </c>
      <c r="E47">
        <v>6903.24</v>
      </c>
      <c r="F47">
        <v>6811.48</v>
      </c>
      <c r="G47">
        <v>6739.5</v>
      </c>
      <c r="H47">
        <v>21488.73</v>
      </c>
      <c r="I47">
        <v>7128.01</v>
      </c>
      <c r="J47">
        <v>6978.68</v>
      </c>
      <c r="K47">
        <v>6754.08</v>
      </c>
    </row>
    <row r="48" spans="1:11" s="6" customFormat="1" x14ac:dyDescent="0.35">
      <c r="A48" s="6" t="s">
        <v>13</v>
      </c>
      <c r="B48">
        <v>1700.31</v>
      </c>
      <c r="C48">
        <v>1227.99</v>
      </c>
      <c r="D48">
        <v>1583.55</v>
      </c>
      <c r="E48">
        <v>1726.25</v>
      </c>
      <c r="F48">
        <v>1757.05</v>
      </c>
      <c r="G48">
        <v>1726.32</v>
      </c>
      <c r="H48">
        <v>1680.85</v>
      </c>
      <c r="I48">
        <v>1784.6</v>
      </c>
      <c r="J48">
        <v>1792.13</v>
      </c>
      <c r="K48">
        <v>1735.63</v>
      </c>
    </row>
    <row r="49" spans="1:11" s="6" customFormat="1" x14ac:dyDescent="0.35">
      <c r="A49" s="6" t="s">
        <v>14</v>
      </c>
      <c r="B49">
        <v>4898.07</v>
      </c>
      <c r="C49">
        <v>5335.23</v>
      </c>
      <c r="D49">
        <v>5120.55</v>
      </c>
      <c r="E49">
        <v>5091.59</v>
      </c>
      <c r="F49">
        <v>4992.87</v>
      </c>
      <c r="G49">
        <v>4934.8</v>
      </c>
      <c r="H49">
        <v>19727.37</v>
      </c>
      <c r="I49">
        <v>5244.2</v>
      </c>
      <c r="J49">
        <v>5126.1099999999997</v>
      </c>
      <c r="K49">
        <v>4931.1899999999996</v>
      </c>
    </row>
    <row r="50" spans="1:11" x14ac:dyDescent="0.35">
      <c r="A50" s="6" t="s">
        <v>8</v>
      </c>
      <c r="B50">
        <v>6454.24</v>
      </c>
      <c r="C50">
        <v>6210.23</v>
      </c>
      <c r="D50">
        <v>6302.07</v>
      </c>
      <c r="E50">
        <v>6544.84</v>
      </c>
      <c r="F50">
        <v>6552.08</v>
      </c>
      <c r="G50">
        <v>6361.9</v>
      </c>
      <c r="H50">
        <v>6519.39</v>
      </c>
      <c r="I50">
        <v>6816.47</v>
      </c>
      <c r="J50">
        <v>6694.69</v>
      </c>
      <c r="K50">
        <v>6882.52</v>
      </c>
    </row>
    <row r="51" spans="1:11" x14ac:dyDescent="0.35">
      <c r="A51" s="6"/>
    </row>
    <row r="52" spans="1:11" x14ac:dyDescent="0.35">
      <c r="A52" s="6"/>
    </row>
    <row r="53" spans="1:11" x14ac:dyDescent="0.35">
      <c r="A53" s="6"/>
    </row>
    <row r="54" spans="1:11" x14ac:dyDescent="0.35">
      <c r="A54" s="6"/>
    </row>
    <row r="55" spans="1:11" x14ac:dyDescent="0.35">
      <c r="A55" s="1" t="s">
        <v>40</v>
      </c>
    </row>
    <row r="56" spans="1:11" s="18" customFormat="1" x14ac:dyDescent="0.35">
      <c r="A56" s="17" t="s">
        <v>38</v>
      </c>
      <c r="B56" s="12">
        <v>42460</v>
      </c>
      <c r="C56" s="12">
        <v>42825</v>
      </c>
      <c r="D56" s="12">
        <v>43190</v>
      </c>
      <c r="E56" s="12">
        <v>43555</v>
      </c>
      <c r="F56" s="12">
        <v>43921</v>
      </c>
      <c r="G56" s="12">
        <v>44286</v>
      </c>
      <c r="H56" s="12">
        <v>44651</v>
      </c>
      <c r="I56" s="12">
        <v>45016</v>
      </c>
      <c r="J56" s="12">
        <v>45382</v>
      </c>
      <c r="K56" s="12">
        <v>45747</v>
      </c>
    </row>
    <row r="57" spans="1:11" x14ac:dyDescent="0.35">
      <c r="A57" s="6" t="s">
        <v>24</v>
      </c>
      <c r="B57">
        <v>804.72</v>
      </c>
      <c r="C57">
        <v>1214.74</v>
      </c>
      <c r="D57">
        <v>1220.43</v>
      </c>
      <c r="E57">
        <v>1225.8599999999999</v>
      </c>
      <c r="F57">
        <v>1229.22</v>
      </c>
      <c r="G57">
        <v>1230.8800000000001</v>
      </c>
      <c r="H57">
        <v>1232.33</v>
      </c>
      <c r="I57">
        <v>1242.8</v>
      </c>
      <c r="J57">
        <v>1248.47</v>
      </c>
      <c r="K57">
        <v>1251.4100000000001</v>
      </c>
    </row>
    <row r="58" spans="1:11" x14ac:dyDescent="0.35">
      <c r="A58" s="6" t="s">
        <v>25</v>
      </c>
      <c r="B58">
        <v>41874.800000000003</v>
      </c>
      <c r="C58">
        <v>45198.19</v>
      </c>
      <c r="D58">
        <v>51289.68</v>
      </c>
      <c r="E58">
        <v>57915.01</v>
      </c>
      <c r="F58">
        <v>64044.04</v>
      </c>
      <c r="G58">
        <v>59116.46</v>
      </c>
      <c r="H58">
        <v>61223.24</v>
      </c>
      <c r="I58">
        <v>67912.460000000006</v>
      </c>
      <c r="J58">
        <v>73258.53</v>
      </c>
      <c r="K58">
        <v>68778.64</v>
      </c>
    </row>
    <row r="59" spans="1:11" x14ac:dyDescent="0.35">
      <c r="A59" s="6" t="s">
        <v>62</v>
      </c>
      <c r="B59">
        <v>83.78</v>
      </c>
      <c r="C59">
        <v>45.72</v>
      </c>
      <c r="D59">
        <v>35.92</v>
      </c>
      <c r="E59">
        <v>13.44</v>
      </c>
      <c r="F59">
        <v>277.45</v>
      </c>
      <c r="G59">
        <v>270.83</v>
      </c>
      <c r="H59">
        <v>249.44</v>
      </c>
      <c r="I59">
        <v>306.04000000000002</v>
      </c>
      <c r="J59">
        <v>303.43</v>
      </c>
      <c r="K59">
        <v>284.54000000000002</v>
      </c>
    </row>
    <row r="60" spans="1:11" x14ac:dyDescent="0.35">
      <c r="A60" s="6" t="s">
        <v>63</v>
      </c>
      <c r="B60">
        <v>8888.0400000000009</v>
      </c>
      <c r="C60">
        <v>9439.67</v>
      </c>
      <c r="D60">
        <v>11694.85</v>
      </c>
      <c r="E60">
        <v>12584.73</v>
      </c>
      <c r="F60">
        <v>11760.04</v>
      </c>
      <c r="G60">
        <v>13142.59</v>
      </c>
      <c r="H60">
        <v>14491.01</v>
      </c>
      <c r="I60">
        <v>16369.66</v>
      </c>
      <c r="J60">
        <v>16943.54</v>
      </c>
      <c r="K60">
        <v>17688.11</v>
      </c>
    </row>
    <row r="61" spans="1:11" s="1" customFormat="1" x14ac:dyDescent="0.35">
      <c r="A61" s="1" t="s">
        <v>26</v>
      </c>
      <c r="B61">
        <v>51651.34</v>
      </c>
      <c r="C61">
        <v>55898.32</v>
      </c>
      <c r="D61">
        <v>64240.88</v>
      </c>
      <c r="E61">
        <v>71739.039999999994</v>
      </c>
      <c r="F61">
        <v>77310.75</v>
      </c>
      <c r="G61">
        <v>73760.759999999995</v>
      </c>
      <c r="H61">
        <v>77196.02</v>
      </c>
      <c r="I61">
        <v>85830.96</v>
      </c>
      <c r="J61">
        <v>91753.97</v>
      </c>
      <c r="K61">
        <v>88002.7</v>
      </c>
    </row>
    <row r="62" spans="1:11" x14ac:dyDescent="0.35">
      <c r="A62" s="6" t="s">
        <v>27</v>
      </c>
      <c r="B62">
        <v>15106.63</v>
      </c>
      <c r="C62">
        <v>15893.48</v>
      </c>
      <c r="D62">
        <v>16523.96</v>
      </c>
      <c r="E62">
        <v>19374.189999999999</v>
      </c>
      <c r="F62">
        <v>21713.34</v>
      </c>
      <c r="G62">
        <v>23298.48</v>
      </c>
      <c r="H62">
        <v>24231.59</v>
      </c>
      <c r="I62">
        <v>25851.27</v>
      </c>
      <c r="J62">
        <v>27820.22</v>
      </c>
      <c r="K62">
        <v>21954.85</v>
      </c>
    </row>
    <row r="63" spans="1:11" x14ac:dyDescent="0.35">
      <c r="A63" s="6" t="s">
        <v>28</v>
      </c>
      <c r="B63">
        <v>2559.7199999999998</v>
      </c>
      <c r="C63">
        <v>3729.89</v>
      </c>
      <c r="D63">
        <v>5508.33</v>
      </c>
      <c r="E63">
        <v>4136.42</v>
      </c>
      <c r="F63">
        <v>3256.46</v>
      </c>
      <c r="G63">
        <v>4011.29</v>
      </c>
      <c r="H63">
        <v>3225.54</v>
      </c>
      <c r="I63">
        <v>3003.3</v>
      </c>
      <c r="J63">
        <v>2860.78</v>
      </c>
      <c r="K63">
        <v>1090.9100000000001</v>
      </c>
    </row>
    <row r="64" spans="1:11" x14ac:dyDescent="0.35">
      <c r="A64" s="6" t="s">
        <v>29</v>
      </c>
      <c r="B64">
        <v>11747.59</v>
      </c>
      <c r="C64">
        <v>17581.38</v>
      </c>
      <c r="D64">
        <v>22052.86</v>
      </c>
      <c r="E64">
        <v>25043.49</v>
      </c>
      <c r="F64">
        <v>28663.35</v>
      </c>
      <c r="G64">
        <v>24870.87</v>
      </c>
      <c r="H64">
        <v>24841.01</v>
      </c>
      <c r="I64">
        <v>29415.02</v>
      </c>
      <c r="J64">
        <v>31114.02</v>
      </c>
      <c r="K64">
        <v>34719.82</v>
      </c>
    </row>
    <row r="65" spans="1:11" x14ac:dyDescent="0.35">
      <c r="A65" s="6" t="s">
        <v>64</v>
      </c>
      <c r="B65">
        <v>22237.4</v>
      </c>
      <c r="C65">
        <v>18693.57</v>
      </c>
      <c r="D65">
        <v>20155.73</v>
      </c>
      <c r="E65">
        <v>23184.94</v>
      </c>
      <c r="F65">
        <v>23677.599999999999</v>
      </c>
      <c r="G65">
        <v>21580.12</v>
      </c>
      <c r="H65">
        <v>24897.88</v>
      </c>
      <c r="I65">
        <v>27561.37</v>
      </c>
      <c r="J65">
        <v>29958.95</v>
      </c>
      <c r="K65">
        <v>30237.119999999999</v>
      </c>
    </row>
    <row r="66" spans="1:11" s="1" customFormat="1" x14ac:dyDescent="0.35">
      <c r="A66" s="1" t="s">
        <v>26</v>
      </c>
      <c r="B66">
        <v>51651.34</v>
      </c>
      <c r="C66">
        <v>55898.32</v>
      </c>
      <c r="D66">
        <v>64240.88</v>
      </c>
      <c r="E66">
        <v>71739.039999999994</v>
      </c>
      <c r="F66">
        <v>77310.75</v>
      </c>
      <c r="G66">
        <v>73760.759999999995</v>
      </c>
      <c r="H66">
        <v>77196.02</v>
      </c>
      <c r="I66">
        <v>85830.96</v>
      </c>
      <c r="J66">
        <v>91753.97</v>
      </c>
      <c r="K66">
        <v>88002.7</v>
      </c>
    </row>
    <row r="67" spans="1:11" s="6" customFormat="1" x14ac:dyDescent="0.35">
      <c r="A67" s="6" t="s">
        <v>69</v>
      </c>
      <c r="B67">
        <v>1917.18</v>
      </c>
      <c r="C67">
        <v>2474.29</v>
      </c>
      <c r="D67">
        <v>2682.29</v>
      </c>
      <c r="E67">
        <v>4035.28</v>
      </c>
      <c r="F67">
        <v>2562.48</v>
      </c>
      <c r="G67">
        <v>2501.6999999999998</v>
      </c>
      <c r="H67">
        <v>2461.9</v>
      </c>
      <c r="I67">
        <v>2956.17</v>
      </c>
      <c r="J67">
        <v>4025.82</v>
      </c>
      <c r="K67">
        <v>4719.67</v>
      </c>
    </row>
    <row r="68" spans="1:11" x14ac:dyDescent="0.35">
      <c r="A68" s="6" t="s">
        <v>45</v>
      </c>
      <c r="B68">
        <v>9062.1</v>
      </c>
      <c r="C68">
        <v>8116.1</v>
      </c>
      <c r="D68">
        <v>7495.09</v>
      </c>
      <c r="E68">
        <v>7859.56</v>
      </c>
      <c r="F68">
        <v>8879.33</v>
      </c>
      <c r="G68">
        <v>10397.16</v>
      </c>
      <c r="H68">
        <v>10864.15</v>
      </c>
      <c r="I68">
        <v>11771.16</v>
      </c>
      <c r="J68">
        <v>14152.88</v>
      </c>
      <c r="K68">
        <v>15637.56</v>
      </c>
    </row>
    <row r="69" spans="1:11" x14ac:dyDescent="0.35">
      <c r="A69" s="4" t="s">
        <v>78</v>
      </c>
      <c r="B69">
        <v>6063.3</v>
      </c>
      <c r="C69">
        <v>2967.4</v>
      </c>
      <c r="D69">
        <v>2899.6</v>
      </c>
      <c r="E69">
        <v>4152.03</v>
      </c>
      <c r="F69">
        <v>7277.34</v>
      </c>
      <c r="G69">
        <v>4659.0200000000004</v>
      </c>
      <c r="H69">
        <v>4654.42</v>
      </c>
      <c r="I69">
        <v>4880.1899999999996</v>
      </c>
      <c r="J69">
        <v>7217.68</v>
      </c>
      <c r="K69">
        <v>4012.36</v>
      </c>
    </row>
    <row r="70" spans="1:11" x14ac:dyDescent="0.35">
      <c r="A70" s="4" t="s">
        <v>65</v>
      </c>
      <c r="B70">
        <v>8047206991</v>
      </c>
      <c r="C70">
        <v>12147383071</v>
      </c>
      <c r="D70">
        <v>12204294911</v>
      </c>
      <c r="E70">
        <v>12258631601</v>
      </c>
      <c r="F70">
        <v>12292231241</v>
      </c>
      <c r="G70">
        <v>12308844231</v>
      </c>
      <c r="H70">
        <v>12323255931</v>
      </c>
      <c r="I70">
        <v>12428017741</v>
      </c>
      <c r="J70">
        <v>12484700000</v>
      </c>
      <c r="K70">
        <v>12514119781</v>
      </c>
    </row>
    <row r="71" spans="1:11" x14ac:dyDescent="0.35">
      <c r="A71" s="4" t="s">
        <v>66</v>
      </c>
      <c r="C71">
        <v>4026657100</v>
      </c>
    </row>
    <row r="72" spans="1:11" x14ac:dyDescent="0.35">
      <c r="A72" s="4" t="s">
        <v>79</v>
      </c>
      <c r="B72">
        <v>1</v>
      </c>
      <c r="C72">
        <v>1</v>
      </c>
      <c r="D72">
        <v>1</v>
      </c>
      <c r="E72">
        <v>1</v>
      </c>
      <c r="F72">
        <v>1</v>
      </c>
      <c r="G72">
        <v>1</v>
      </c>
      <c r="H72">
        <v>1</v>
      </c>
      <c r="I72">
        <v>1</v>
      </c>
      <c r="J72">
        <v>1</v>
      </c>
      <c r="K72">
        <v>1</v>
      </c>
    </row>
    <row r="74" spans="1:11" x14ac:dyDescent="0.35">
      <c r="A74" s="6"/>
    </row>
    <row r="75" spans="1:11" x14ac:dyDescent="0.35">
      <c r="A75" s="6"/>
    </row>
    <row r="76" spans="1:11" x14ac:dyDescent="0.35">
      <c r="A76" s="6"/>
    </row>
    <row r="77" spans="1:11" x14ac:dyDescent="0.35">
      <c r="A77" s="6"/>
    </row>
    <row r="78" spans="1:11" x14ac:dyDescent="0.35">
      <c r="A78" s="6"/>
    </row>
    <row r="79" spans="1:11" x14ac:dyDescent="0.35">
      <c r="A79" s="6"/>
    </row>
    <row r="80" spans="1:11" x14ac:dyDescent="0.35">
      <c r="A80" s="1" t="s">
        <v>41</v>
      </c>
    </row>
    <row r="81" spans="1:11" s="18" customFormat="1" x14ac:dyDescent="0.35">
      <c r="A81" s="17" t="s">
        <v>38</v>
      </c>
      <c r="B81" s="12">
        <v>42460</v>
      </c>
      <c r="C81" s="12">
        <v>42825</v>
      </c>
      <c r="D81" s="12">
        <v>43190</v>
      </c>
      <c r="E81" s="12">
        <v>43555</v>
      </c>
      <c r="F81" s="12">
        <v>43921</v>
      </c>
      <c r="G81" s="12">
        <v>44286</v>
      </c>
      <c r="H81" s="12">
        <v>44651</v>
      </c>
      <c r="I81" s="12">
        <v>45016</v>
      </c>
      <c r="J81" s="12">
        <v>45382</v>
      </c>
      <c r="K81" s="12">
        <v>45747</v>
      </c>
    </row>
    <row r="82" spans="1:11" s="1" customFormat="1" x14ac:dyDescent="0.35">
      <c r="A82" s="6" t="s">
        <v>32</v>
      </c>
      <c r="B82">
        <v>9799.0400000000009</v>
      </c>
      <c r="C82">
        <v>10627.31</v>
      </c>
      <c r="D82">
        <v>13169.4</v>
      </c>
      <c r="E82">
        <v>12583.41</v>
      </c>
      <c r="F82">
        <v>14689.66</v>
      </c>
      <c r="G82">
        <v>12526.97</v>
      </c>
      <c r="H82">
        <v>15775.51</v>
      </c>
      <c r="I82">
        <v>18877.55</v>
      </c>
      <c r="J82">
        <v>17178.86</v>
      </c>
      <c r="K82">
        <v>17627.04</v>
      </c>
    </row>
    <row r="83" spans="1:11" s="6" customFormat="1" x14ac:dyDescent="0.35">
      <c r="A83" s="6" t="s">
        <v>33</v>
      </c>
      <c r="B83">
        <v>-3920.73</v>
      </c>
      <c r="C83">
        <v>-3250.93</v>
      </c>
      <c r="D83">
        <v>-7113.89</v>
      </c>
      <c r="E83">
        <v>-5545.68</v>
      </c>
      <c r="F83">
        <v>-6174.02</v>
      </c>
      <c r="G83">
        <v>5739.98</v>
      </c>
      <c r="H83">
        <v>-2238.4899999999998</v>
      </c>
      <c r="I83">
        <v>-5732.29</v>
      </c>
      <c r="J83">
        <v>1562.77</v>
      </c>
      <c r="K83">
        <v>-563.84</v>
      </c>
    </row>
    <row r="84" spans="1:11" s="6" customFormat="1" x14ac:dyDescent="0.35">
      <c r="A84" s="6" t="s">
        <v>34</v>
      </c>
      <c r="B84">
        <v>-5612.52</v>
      </c>
      <c r="C84">
        <v>-7301.03</v>
      </c>
      <c r="D84">
        <v>-6221.13</v>
      </c>
      <c r="E84">
        <v>-6868.64</v>
      </c>
      <c r="F84">
        <v>-8181.48</v>
      </c>
      <c r="G84">
        <v>-18633.830000000002</v>
      </c>
      <c r="H84">
        <v>-13580.5</v>
      </c>
      <c r="I84">
        <v>-13006.03</v>
      </c>
      <c r="J84">
        <v>-18550.96</v>
      </c>
      <c r="K84">
        <v>-17037.400000000001</v>
      </c>
    </row>
    <row r="85" spans="1:11" s="1" customFormat="1" x14ac:dyDescent="0.35">
      <c r="A85" s="6" t="s">
        <v>35</v>
      </c>
      <c r="B85">
        <v>265.79000000000002</v>
      </c>
      <c r="C85">
        <v>75.349999999999994</v>
      </c>
      <c r="D85">
        <v>-165.62</v>
      </c>
      <c r="E85">
        <v>169.09</v>
      </c>
      <c r="F85">
        <v>334.16</v>
      </c>
      <c r="G85">
        <v>-366.88</v>
      </c>
      <c r="H85">
        <v>-43.48</v>
      </c>
      <c r="I85">
        <v>139.22999999999999</v>
      </c>
      <c r="J85">
        <v>190.67</v>
      </c>
      <c r="K85">
        <v>25.8</v>
      </c>
    </row>
    <row r="86" spans="1:11" x14ac:dyDescent="0.35">
      <c r="A86" s="6"/>
    </row>
    <row r="87" spans="1:11" x14ac:dyDescent="0.35">
      <c r="A87" s="6"/>
    </row>
    <row r="88" spans="1:11" x14ac:dyDescent="0.35">
      <c r="A88" s="6"/>
    </row>
    <row r="89" spans="1:11" x14ac:dyDescent="0.35">
      <c r="A89" s="6"/>
    </row>
    <row r="90" spans="1:11" s="1" customFormat="1" x14ac:dyDescent="0.35">
      <c r="A90" s="1" t="s">
        <v>68</v>
      </c>
      <c r="B90">
        <v>205.13</v>
      </c>
      <c r="C90">
        <v>262.75</v>
      </c>
      <c r="D90">
        <v>239.5</v>
      </c>
      <c r="E90">
        <v>278.64</v>
      </c>
      <c r="F90">
        <v>160.94999999999999</v>
      </c>
      <c r="G90">
        <v>204.82</v>
      </c>
      <c r="H90">
        <v>234.96</v>
      </c>
      <c r="I90">
        <v>359.49</v>
      </c>
      <c r="J90">
        <v>401.53</v>
      </c>
      <c r="K90">
        <v>409.75</v>
      </c>
    </row>
    <row r="92" spans="1:11" s="1" customFormat="1" x14ac:dyDescent="0.35">
      <c r="A92" s="1" t="s">
        <v>67</v>
      </c>
    </row>
    <row r="93" spans="1:11" x14ac:dyDescent="0.35">
      <c r="A93" s="4" t="s">
        <v>80</v>
      </c>
      <c r="B93" s="21">
        <v>1207.08</v>
      </c>
      <c r="C93" s="21">
        <v>1214.74</v>
      </c>
      <c r="D93" s="21">
        <v>1220.43</v>
      </c>
      <c r="E93" s="21">
        <v>1225.8599999999999</v>
      </c>
      <c r="F93" s="21">
        <v>1229.22</v>
      </c>
      <c r="G93" s="21">
        <v>1230.8800000000001</v>
      </c>
      <c r="H93" s="21">
        <v>1232.33</v>
      </c>
      <c r="I93" s="21">
        <v>1242.8</v>
      </c>
      <c r="J93" s="21">
        <v>1248.47</v>
      </c>
      <c r="K93" s="21">
        <v>1251.4100000000001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52"/>
  <sheetViews>
    <sheetView zoomScale="63" zoomScaleNormal="120" zoomScaleSheetLayoutView="100" zoomScalePageLayoutView="120" workbookViewId="0">
      <pane xSplit="1" ySplit="4" topLeftCell="B32" activePane="bottomRight" state="frozen"/>
      <selection activeCell="I2" sqref="I2"/>
      <selection pane="topRight" activeCell="I2" sqref="I2"/>
      <selection pane="bottomLeft" activeCell="I2" sqref="I2"/>
      <selection pane="bottomRight" activeCell="K32" sqref="K32"/>
    </sheetView>
  </sheetViews>
  <sheetFormatPr defaultColWidth="8.81640625" defaultRowHeight="14.5" x14ac:dyDescent="0.35"/>
  <cols>
    <col min="1" max="1" width="20.6328125" customWidth="1"/>
    <col min="2" max="6" width="13.453125" customWidth="1"/>
    <col min="7" max="7" width="14.81640625" bestFit="1" customWidth="1"/>
    <col min="8" max="11" width="13.453125" customWidth="1"/>
    <col min="12" max="12" width="13.36328125" customWidth="1"/>
    <col min="13" max="14" width="12.1796875" customWidth="1"/>
  </cols>
  <sheetData>
    <row r="1" spans="1:14" s="2" customFormat="1" x14ac:dyDescent="0.35">
      <c r="A1" s="2" t="str">
        <f>'Data Sheet'!B1</f>
        <v>ITC LTD</v>
      </c>
      <c r="H1" t="str">
        <f>UPDATE</f>
        <v/>
      </c>
      <c r="J1" s="3"/>
      <c r="K1" s="3"/>
      <c r="M1" s="2" t="s">
        <v>1</v>
      </c>
    </row>
    <row r="3" spans="1:14" s="2" customFormat="1" x14ac:dyDescent="0.35">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x14ac:dyDescent="0.35">
      <c r="A4" s="2" t="s">
        <v>6</v>
      </c>
      <c r="B4" s="1">
        <f>'Data Sheet'!B17</f>
        <v>39192.1</v>
      </c>
      <c r="C4" s="1">
        <f>'Data Sheet'!C17</f>
        <v>42767.6</v>
      </c>
      <c r="D4" s="1">
        <f>'Data Sheet'!D17</f>
        <v>43448.94</v>
      </c>
      <c r="E4" s="1">
        <f>'Data Sheet'!E17</f>
        <v>48339.58</v>
      </c>
      <c r="F4" s="1">
        <f>'Data Sheet'!F17</f>
        <v>49387.7</v>
      </c>
      <c r="G4" s="1">
        <f>'Data Sheet'!G17</f>
        <v>49257.45</v>
      </c>
      <c r="H4" s="1">
        <f>'Data Sheet'!H17</f>
        <v>60644.54</v>
      </c>
      <c r="I4" s="1">
        <f>'Data Sheet'!I17</f>
        <v>70919.03</v>
      </c>
      <c r="J4" s="1">
        <f>'Data Sheet'!J17</f>
        <v>67931.94</v>
      </c>
      <c r="K4" s="1">
        <f>'Data Sheet'!K17</f>
        <v>75323.34</v>
      </c>
      <c r="L4" s="1">
        <f>SUM(Quarters!H4:K4)</f>
        <v>79808.72</v>
      </c>
      <c r="M4" s="1">
        <f>$K4+M23*K4</f>
        <v>83518.968378580088</v>
      </c>
      <c r="N4" s="1">
        <f>$K4+N23*L4</f>
        <v>81303.230401530862</v>
      </c>
    </row>
    <row r="5" spans="1:14" x14ac:dyDescent="0.35">
      <c r="A5" t="s">
        <v>7</v>
      </c>
      <c r="B5" s="6">
        <f>SUM('Data Sheet'!B18,'Data Sheet'!B20:B24, -1*'Data Sheet'!B19)</f>
        <v>24660.609999999997</v>
      </c>
      <c r="C5" s="6">
        <f>SUM('Data Sheet'!C18,'Data Sheet'!C20:C24, -1*'Data Sheet'!C19)</f>
        <v>27298.09</v>
      </c>
      <c r="D5" s="6">
        <f>SUM('Data Sheet'!D18,'Data Sheet'!D20:D24, -1*'Data Sheet'!D19)</f>
        <v>26928.35</v>
      </c>
      <c r="E5" s="6">
        <f>SUM('Data Sheet'!E18,'Data Sheet'!E20:E24, -1*'Data Sheet'!E19)</f>
        <v>29802.19</v>
      </c>
      <c r="F5" s="6">
        <f>SUM('Data Sheet'!F18,'Data Sheet'!F20:F24, -1*'Data Sheet'!F19)</f>
        <v>30044.16</v>
      </c>
      <c r="G5" s="6">
        <f>SUM('Data Sheet'!G18,'Data Sheet'!G20:G24, -1*'Data Sheet'!G19)</f>
        <v>32192.670000000002</v>
      </c>
      <c r="H5" s="6">
        <f>SUM('Data Sheet'!H18,'Data Sheet'!H20:H24, -1*'Data Sheet'!H19)</f>
        <v>40021.39</v>
      </c>
      <c r="I5" s="6">
        <f>SUM('Data Sheet'!I18,'Data Sheet'!I20:I24, -1*'Data Sheet'!I19)</f>
        <v>45214.770000000004</v>
      </c>
      <c r="J5" s="6">
        <f>SUM('Data Sheet'!J18,'Data Sheet'!J20:J24, -1*'Data Sheet'!J19)</f>
        <v>42744.41</v>
      </c>
      <c r="K5" s="6">
        <f>SUM('Data Sheet'!K18,'Data Sheet'!K20:K24, -1*'Data Sheet'!K19)</f>
        <v>49483.89</v>
      </c>
      <c r="L5" s="6">
        <f>SUM(Quarters!H5:K5)</f>
        <v>52895.65</v>
      </c>
      <c r="M5" s="6">
        <f t="shared" ref="M5:N5" si="0">M4-M6</f>
        <v>53597.013652967857</v>
      </c>
      <c r="N5" s="6">
        <f t="shared" si="0"/>
        <v>53886.182101263315</v>
      </c>
    </row>
    <row r="6" spans="1:14" s="2" customFormat="1" x14ac:dyDescent="0.35">
      <c r="A6" s="2" t="s">
        <v>8</v>
      </c>
      <c r="B6" s="1">
        <f>B4-B5</f>
        <v>14531.490000000002</v>
      </c>
      <c r="C6" s="1">
        <f t="shared" ref="C6:K6" si="1">C4-C5</f>
        <v>15469.509999999998</v>
      </c>
      <c r="D6" s="1">
        <f t="shared" si="1"/>
        <v>16520.590000000004</v>
      </c>
      <c r="E6" s="1">
        <f t="shared" si="1"/>
        <v>18537.390000000003</v>
      </c>
      <c r="F6" s="1">
        <f t="shared" si="1"/>
        <v>19343.539999999997</v>
      </c>
      <c r="G6" s="1">
        <f t="shared" si="1"/>
        <v>17064.779999999995</v>
      </c>
      <c r="H6" s="1">
        <f t="shared" si="1"/>
        <v>20623.150000000001</v>
      </c>
      <c r="I6" s="1">
        <f t="shared" si="1"/>
        <v>25704.259999999995</v>
      </c>
      <c r="J6" s="1">
        <f t="shared" si="1"/>
        <v>25187.53</v>
      </c>
      <c r="K6" s="1">
        <f t="shared" si="1"/>
        <v>25839.449999999997</v>
      </c>
      <c r="L6" s="1">
        <f>SUM(Quarters!H6:K6)</f>
        <v>26913.07</v>
      </c>
      <c r="M6" s="1">
        <f>M4*M24</f>
        <v>29921.954725612231</v>
      </c>
      <c r="N6" s="1">
        <f>N4*N24</f>
        <v>27417.048300267543</v>
      </c>
    </row>
    <row r="7" spans="1:14" x14ac:dyDescent="0.35">
      <c r="A7" t="s">
        <v>9</v>
      </c>
      <c r="B7" s="6">
        <f>'Data Sheet'!B25</f>
        <v>1483.11</v>
      </c>
      <c r="C7" s="6">
        <f>'Data Sheet'!C25</f>
        <v>1758.63</v>
      </c>
      <c r="D7" s="6">
        <f>'Data Sheet'!D25</f>
        <v>2239.81</v>
      </c>
      <c r="E7" s="6">
        <f>'Data Sheet'!E25</f>
        <v>2080.44</v>
      </c>
      <c r="F7" s="6">
        <f>'Data Sheet'!F25</f>
        <v>2417.3200000000002</v>
      </c>
      <c r="G7" s="6">
        <f>'Data Sheet'!G25</f>
        <v>2576.9499999999998</v>
      </c>
      <c r="H7" s="6">
        <f>'Data Sheet'!H25</f>
        <v>1909.72</v>
      </c>
      <c r="I7" s="6">
        <f>'Data Sheet'!I25</f>
        <v>2097.64</v>
      </c>
      <c r="J7" s="6">
        <f>'Data Sheet'!J25</f>
        <v>3330.45</v>
      </c>
      <c r="K7" s="6">
        <f>'Data Sheet'!K25</f>
        <v>17794.88</v>
      </c>
      <c r="L7" s="6">
        <f>SUM(Quarters!H7:K7)</f>
        <v>17202.939999999999</v>
      </c>
      <c r="M7" s="6">
        <v>0</v>
      </c>
      <c r="N7" s="6">
        <v>0</v>
      </c>
    </row>
    <row r="8" spans="1:14" x14ac:dyDescent="0.35">
      <c r="A8" t="s">
        <v>10</v>
      </c>
      <c r="B8" s="6">
        <f>'Data Sheet'!B26</f>
        <v>1077.4000000000001</v>
      </c>
      <c r="C8" s="6">
        <f>'Data Sheet'!C26</f>
        <v>1152.79</v>
      </c>
      <c r="D8" s="6">
        <f>'Data Sheet'!D26</f>
        <v>1236.28</v>
      </c>
      <c r="E8" s="6">
        <f>'Data Sheet'!E26</f>
        <v>1396.61</v>
      </c>
      <c r="F8" s="6">
        <f>'Data Sheet'!F26</f>
        <v>1644.91</v>
      </c>
      <c r="G8" s="6">
        <f>'Data Sheet'!G26</f>
        <v>1645.59</v>
      </c>
      <c r="H8" s="6">
        <f>'Data Sheet'!H26</f>
        <v>1732.41</v>
      </c>
      <c r="I8" s="6">
        <f>'Data Sheet'!I26</f>
        <v>1809.01</v>
      </c>
      <c r="J8" s="6">
        <f>'Data Sheet'!J26</f>
        <v>1518.05</v>
      </c>
      <c r="K8" s="6">
        <f>'Data Sheet'!K26</f>
        <v>1646.32</v>
      </c>
      <c r="L8" s="6">
        <f>SUM(Quarters!H8:K8)</f>
        <v>1699.61</v>
      </c>
      <c r="M8" s="6">
        <f>+$L8</f>
        <v>1699.61</v>
      </c>
      <c r="N8" s="6">
        <f>+$L8</f>
        <v>1699.61</v>
      </c>
    </row>
    <row r="9" spans="1:14" x14ac:dyDescent="0.35">
      <c r="A9" t="s">
        <v>11</v>
      </c>
      <c r="B9" s="6">
        <f>'Data Sheet'!B27</f>
        <v>78.13</v>
      </c>
      <c r="C9" s="6">
        <f>'Data Sheet'!C27</f>
        <v>49.03</v>
      </c>
      <c r="D9" s="6">
        <f>'Data Sheet'!D27</f>
        <v>115.01</v>
      </c>
      <c r="E9" s="6">
        <f>'Data Sheet'!E27</f>
        <v>71.400000000000006</v>
      </c>
      <c r="F9" s="6">
        <f>'Data Sheet'!F27</f>
        <v>81.38</v>
      </c>
      <c r="G9" s="6">
        <f>'Data Sheet'!G27</f>
        <v>57.97</v>
      </c>
      <c r="H9" s="6">
        <f>'Data Sheet'!H27</f>
        <v>59.99</v>
      </c>
      <c r="I9" s="6">
        <f>'Data Sheet'!I27</f>
        <v>77.77</v>
      </c>
      <c r="J9" s="6">
        <f>'Data Sheet'!J27</f>
        <v>39.11</v>
      </c>
      <c r="K9" s="6">
        <f>'Data Sheet'!K27</f>
        <v>45.06</v>
      </c>
      <c r="L9" s="6">
        <f>SUM(Quarters!H9:K9)</f>
        <v>66.900000000000006</v>
      </c>
      <c r="M9" s="6">
        <f>+$L9</f>
        <v>66.900000000000006</v>
      </c>
      <c r="N9" s="6">
        <f>+$L9</f>
        <v>66.900000000000006</v>
      </c>
    </row>
    <row r="10" spans="1:14" x14ac:dyDescent="0.35">
      <c r="A10" t="s">
        <v>12</v>
      </c>
      <c r="B10" s="6">
        <f>'Data Sheet'!B28</f>
        <v>14859.07</v>
      </c>
      <c r="C10" s="6">
        <f>'Data Sheet'!C28</f>
        <v>16026.32</v>
      </c>
      <c r="D10" s="6">
        <f>'Data Sheet'!D28</f>
        <v>17409.11</v>
      </c>
      <c r="E10" s="6">
        <f>'Data Sheet'!E28</f>
        <v>19149.82</v>
      </c>
      <c r="F10" s="6">
        <f>'Data Sheet'!F28</f>
        <v>20034.57</v>
      </c>
      <c r="G10" s="6">
        <f>'Data Sheet'!G28</f>
        <v>17938.169999999998</v>
      </c>
      <c r="H10" s="6">
        <f>'Data Sheet'!H28</f>
        <v>20740.47</v>
      </c>
      <c r="I10" s="6">
        <f>'Data Sheet'!I28</f>
        <v>25915.119999999999</v>
      </c>
      <c r="J10" s="6">
        <f>'Data Sheet'!J28</f>
        <v>26960.82</v>
      </c>
      <c r="K10" s="6">
        <f>'Data Sheet'!K28</f>
        <v>41942.949999999997</v>
      </c>
      <c r="L10" s="6">
        <f>SUM(Quarters!H10:K10)</f>
        <v>42349.5</v>
      </c>
      <c r="M10" s="6">
        <f>M6+M7-SUM(M8:M9)</f>
        <v>28155.444725612233</v>
      </c>
      <c r="N10" s="6">
        <f>N6+N7-SUM(N8:N9)</f>
        <v>25650.538300267544</v>
      </c>
    </row>
    <row r="11" spans="1:14" x14ac:dyDescent="0.35">
      <c r="A11" t="s">
        <v>13</v>
      </c>
      <c r="B11" s="6">
        <f>'Data Sheet'!B29</f>
        <v>5358.21</v>
      </c>
      <c r="C11" s="6">
        <f>'Data Sheet'!C29</f>
        <v>5549.09</v>
      </c>
      <c r="D11" s="6">
        <f>'Data Sheet'!D29</f>
        <v>5916.43</v>
      </c>
      <c r="E11" s="6">
        <f>'Data Sheet'!E29</f>
        <v>6313.92</v>
      </c>
      <c r="F11" s="6">
        <f>'Data Sheet'!F29</f>
        <v>4441.79</v>
      </c>
      <c r="G11" s="6">
        <f>'Data Sheet'!G29</f>
        <v>4555.29</v>
      </c>
      <c r="H11" s="6">
        <f>'Data Sheet'!H29</f>
        <v>5237.34</v>
      </c>
      <c r="I11" s="6">
        <f>'Data Sheet'!I29</f>
        <v>6438.4</v>
      </c>
      <c r="J11" s="6">
        <f>'Data Sheet'!J29</f>
        <v>6209.46</v>
      </c>
      <c r="K11" s="6">
        <f>'Data Sheet'!K29</f>
        <v>6890.47</v>
      </c>
      <c r="L11" s="6">
        <f>SUM(Quarters!H11:K11)</f>
        <v>6993.21</v>
      </c>
      <c r="M11" s="7">
        <f>IF($L10&gt;0,$L11/$L10,0)</f>
        <v>0.16513087521694472</v>
      </c>
      <c r="N11" s="7">
        <f>IF($L10&gt;0,$L11/$L10,0)</f>
        <v>0.16513087521694472</v>
      </c>
    </row>
    <row r="12" spans="1:14" s="2" customFormat="1" x14ac:dyDescent="0.35">
      <c r="A12" s="2" t="s">
        <v>14</v>
      </c>
      <c r="B12" s="1">
        <f>'Data Sheet'!B30</f>
        <v>9344.4500000000007</v>
      </c>
      <c r="C12" s="1">
        <f>'Data Sheet'!C30</f>
        <v>10289.44</v>
      </c>
      <c r="D12" s="1">
        <f>'Data Sheet'!D30</f>
        <v>11271.2</v>
      </c>
      <c r="E12" s="1">
        <f>'Data Sheet'!E30</f>
        <v>12592.33</v>
      </c>
      <c r="F12" s="1">
        <f>'Data Sheet'!F30</f>
        <v>15306.23</v>
      </c>
      <c r="G12" s="1">
        <f>'Data Sheet'!G30</f>
        <v>13161.19</v>
      </c>
      <c r="H12" s="1">
        <f>'Data Sheet'!H30</f>
        <v>15242.66</v>
      </c>
      <c r="I12" s="1">
        <f>'Data Sheet'!I30</f>
        <v>19191.66</v>
      </c>
      <c r="J12" s="1">
        <f>'Data Sheet'!J30</f>
        <v>20458.78</v>
      </c>
      <c r="K12" s="1">
        <f>'Data Sheet'!K30</f>
        <v>34746.629999999997</v>
      </c>
      <c r="L12" s="1">
        <f>SUM(Quarters!H12:K12)</f>
        <v>35028.870000000003</v>
      </c>
      <c r="M12" s="1">
        <f>M10-M11*M10</f>
        <v>23506.111495949575</v>
      </c>
      <c r="N12" s="1">
        <f>N10-N11*N10</f>
        <v>21414.842460958604</v>
      </c>
    </row>
    <row r="13" spans="1:14" x14ac:dyDescent="0.35">
      <c r="A13" t="s">
        <v>48</v>
      </c>
      <c r="B13" s="6">
        <f>IF('Data Sheet'!B93&gt;0,B12/'Data Sheet'!B93,0)</f>
        <v>7.7413675978394147</v>
      </c>
      <c r="C13" s="6">
        <v>8.0399999999999991</v>
      </c>
      <c r="D13" s="6">
        <f>IF('Data Sheet'!D93&gt;0,D12/'Data Sheet'!D93,0)</f>
        <v>9.2354334128135172</v>
      </c>
      <c r="E13" s="6">
        <f>IF('Data Sheet'!E93&gt;0,E12/'Data Sheet'!E93,0)</f>
        <v>10.272241528396393</v>
      </c>
      <c r="F13" s="6">
        <f>IF('Data Sheet'!F93&gt;0,F12/'Data Sheet'!F93,0)</f>
        <v>12.451985812141032</v>
      </c>
      <c r="G13" s="6">
        <f>IF('Data Sheet'!G93&gt;0,G12/'Data Sheet'!G93,0)</f>
        <v>10.692504549590536</v>
      </c>
      <c r="H13" s="6">
        <f>IF('Data Sheet'!H93&gt;0,H12/'Data Sheet'!H93,0)</f>
        <v>12.368975842509718</v>
      </c>
      <c r="I13" s="6">
        <f>IF('Data Sheet'!I93&gt;0,I12/'Data Sheet'!I93,0)</f>
        <v>15.442275506919859</v>
      </c>
      <c r="J13" s="6">
        <f>IF('Data Sheet'!J93&gt;0,J12/'Data Sheet'!J93,0)</f>
        <v>16.387081788108645</v>
      </c>
      <c r="K13" s="6">
        <f>IF('Data Sheet'!K93&gt;0,K12/'Data Sheet'!K93,0)</f>
        <v>27.765983970081745</v>
      </c>
      <c r="L13" s="6">
        <f>IF('Data Sheet'!$B6&gt;0,'Profit-Loss'!L12/'Data Sheet'!$B6,0)</f>
        <v>27.957721332691012</v>
      </c>
      <c r="M13" s="6">
        <f>IF('Data Sheet'!$B6&gt;0,'Profit-Loss'!M12/'Data Sheet'!$B6,0)</f>
        <v>18.761019548130523</v>
      </c>
      <c r="N13" s="6">
        <f>IF('Data Sheet'!$B6&gt;0,'Profit-Loss'!N12/'Data Sheet'!$B6,0)</f>
        <v>17.091907272685635</v>
      </c>
    </row>
    <row r="14" spans="1:14" x14ac:dyDescent="0.35">
      <c r="A14" t="s">
        <v>16</v>
      </c>
      <c r="B14" s="6">
        <f>IF(B15&gt;0,B15/B13,"")</f>
        <v>26.49790200600356</v>
      </c>
      <c r="C14" s="6">
        <f t="shared" ref="C14:K14" si="2">IF(C15&gt;0,C15/C13,"")</f>
        <v>32.680348258706474</v>
      </c>
      <c r="D14" s="6">
        <f t="shared" si="2"/>
        <v>25.932729877918941</v>
      </c>
      <c r="E14" s="6">
        <f t="shared" si="2"/>
        <v>27.125530414148926</v>
      </c>
      <c r="F14" s="6">
        <f t="shared" si="2"/>
        <v>12.925649163771876</v>
      </c>
      <c r="G14" s="6">
        <f t="shared" si="2"/>
        <v>19.155474664525016</v>
      </c>
      <c r="H14" s="6">
        <f t="shared" si="2"/>
        <v>18.995913889045614</v>
      </c>
      <c r="I14" s="6">
        <f t="shared" si="2"/>
        <v>23.279600201337455</v>
      </c>
      <c r="J14" s="6">
        <f t="shared" si="2"/>
        <v>24.502837368601647</v>
      </c>
      <c r="K14" s="6">
        <f t="shared" si="2"/>
        <v>14.757265596692401</v>
      </c>
      <c r="L14" s="6">
        <f t="shared" ref="L14" si="3">IF(L13&gt;0,L15/L13,0)</f>
        <v>11.077440693919044</v>
      </c>
      <c r="M14" s="6">
        <f>M25</f>
        <v>18.404285965137639</v>
      </c>
      <c r="N14" s="6">
        <f>N25</f>
        <v>11.077440693919044</v>
      </c>
    </row>
    <row r="15" spans="1:14" s="2" customFormat="1" x14ac:dyDescent="0.35">
      <c r="A15" s="2" t="s">
        <v>49</v>
      </c>
      <c r="B15" s="1">
        <f>'Data Sheet'!B90</f>
        <v>205.13</v>
      </c>
      <c r="C15" s="1">
        <f>'Data Sheet'!C90</f>
        <v>262.75</v>
      </c>
      <c r="D15" s="1">
        <f>'Data Sheet'!D90</f>
        <v>239.5</v>
      </c>
      <c r="E15" s="1">
        <f>'Data Sheet'!E90</f>
        <v>278.64</v>
      </c>
      <c r="F15" s="1">
        <f>'Data Sheet'!F90</f>
        <v>160.94999999999999</v>
      </c>
      <c r="G15" s="1">
        <f>'Data Sheet'!G90</f>
        <v>204.82</v>
      </c>
      <c r="H15" s="1">
        <f>'Data Sheet'!H90</f>
        <v>234.96</v>
      </c>
      <c r="I15" s="1">
        <f>'Data Sheet'!I90</f>
        <v>359.49</v>
      </c>
      <c r="J15" s="1">
        <f>'Data Sheet'!J90</f>
        <v>401.53</v>
      </c>
      <c r="K15" s="1">
        <f>'Data Sheet'!K90</f>
        <v>409.75</v>
      </c>
      <c r="L15" s="1">
        <f>'Data Sheet'!B8</f>
        <v>309.7</v>
      </c>
      <c r="M15" s="8">
        <f>M13*M14</f>
        <v>345.28316876133147</v>
      </c>
      <c r="N15" s="9">
        <f>N13*N14</f>
        <v>189.33458915913872</v>
      </c>
    </row>
    <row r="17" spans="1:14" s="2" customFormat="1" x14ac:dyDescent="0.35">
      <c r="A17" s="2" t="s">
        <v>15</v>
      </c>
    </row>
    <row r="18" spans="1:14" x14ac:dyDescent="0.35">
      <c r="A18" t="s">
        <v>17</v>
      </c>
      <c r="B18" s="5">
        <f>IF('Data Sheet'!B30&gt;0, 'Data Sheet'!B31/'Data Sheet'!B30, 0)</f>
        <v>0.73199813793214152</v>
      </c>
      <c r="C18" s="5">
        <f>IF('Data Sheet'!C30&gt;0, 'Data Sheet'!C31/'Data Sheet'!C30, 0)</f>
        <v>0.56077104293333746</v>
      </c>
      <c r="D18" s="5">
        <f>IF('Data Sheet'!D30&gt;0, 'Data Sheet'!D31/'Data Sheet'!D30, 0)</f>
        <v>0.55763450209383203</v>
      </c>
      <c r="E18" s="5">
        <f>IF('Data Sheet'!E30&gt;0, 'Data Sheet'!E31/'Data Sheet'!E30, 0)</f>
        <v>0.55976137855345276</v>
      </c>
      <c r="F18" s="5">
        <f>IF('Data Sheet'!F30&gt;0, 'Data Sheet'!F31/'Data Sheet'!F30, 0)</f>
        <v>0.8151308323473514</v>
      </c>
      <c r="G18" s="5">
        <f>IF('Data Sheet'!G30&gt;0, 'Data Sheet'!G31/'Data Sheet'!G30, 0)</f>
        <v>1.0053771733407084</v>
      </c>
      <c r="H18" s="5">
        <f>IF('Data Sheet'!H30&gt;0, 'Data Sheet'!H31/'Data Sheet'!H30, 0)</f>
        <v>0.92974585800641096</v>
      </c>
      <c r="I18" s="5">
        <f>IF('Data Sheet'!I30&gt;0, 'Data Sheet'!I31/'Data Sheet'!I30, 0)</f>
        <v>1.0037380820627295</v>
      </c>
      <c r="J18" s="5">
        <f>IF('Data Sheet'!J30&gt;0, 'Data Sheet'!J31/'Data Sheet'!J30, 0)</f>
        <v>0.83907544829163816</v>
      </c>
      <c r="K18" s="5">
        <f>IF('Data Sheet'!K30&gt;0, 'Data Sheet'!K31/'Data Sheet'!K30, 0)</f>
        <v>0.51681932895362803</v>
      </c>
    </row>
    <row r="19" spans="1:14" x14ac:dyDescent="0.35">
      <c r="A19" t="s">
        <v>18</v>
      </c>
      <c r="B19" s="5">
        <f t="shared" ref="B19:L19" si="4">IF(B6&gt;0,B6/B4,0)</f>
        <v>0.37077599822413199</v>
      </c>
      <c r="C19" s="5">
        <f t="shared" ref="C19:K19" si="5">IF(C6&gt;0,C6/C4,0)</f>
        <v>0.36171096811605047</v>
      </c>
      <c r="D19" s="5">
        <f t="shared" si="5"/>
        <v>0.38022998950031928</v>
      </c>
      <c r="E19" s="5">
        <f t="shared" si="5"/>
        <v>0.38348264507056129</v>
      </c>
      <c r="F19" s="5">
        <f t="shared" si="5"/>
        <v>0.39166715599228147</v>
      </c>
      <c r="G19" s="5">
        <f t="shared" si="5"/>
        <v>0.34644058919006154</v>
      </c>
      <c r="H19" s="5">
        <f t="shared" si="5"/>
        <v>0.3400660636555245</v>
      </c>
      <c r="I19" s="5">
        <f t="shared" si="5"/>
        <v>0.36244517162741785</v>
      </c>
      <c r="J19" s="5">
        <f t="shared" si="5"/>
        <v>0.37077595605248426</v>
      </c>
      <c r="K19" s="5">
        <f t="shared" si="5"/>
        <v>0.34304705553418102</v>
      </c>
      <c r="L19" s="5">
        <f t="shared" si="4"/>
        <v>0.33721966722433339</v>
      </c>
    </row>
    <row r="20" spans="1:14" x14ac:dyDescent="0.35">
      <c r="B20" s="5"/>
      <c r="C20" s="5"/>
      <c r="D20" s="5"/>
      <c r="E20" s="5"/>
      <c r="F20" s="5"/>
      <c r="G20" s="5"/>
      <c r="H20" s="5"/>
      <c r="I20" s="5"/>
      <c r="J20" s="5"/>
      <c r="K20" s="5"/>
      <c r="L20" s="5"/>
    </row>
    <row r="21" spans="1:14" x14ac:dyDescent="0.35">
      <c r="B21" s="5"/>
      <c r="C21" s="5"/>
      <c r="D21" s="5"/>
      <c r="E21" s="5"/>
      <c r="F21" s="5"/>
      <c r="G21" s="5"/>
      <c r="H21" s="5"/>
      <c r="I21" s="5"/>
      <c r="J21" s="5"/>
      <c r="K21" s="5"/>
      <c r="L21" s="5"/>
    </row>
    <row r="22" spans="1:14" s="2" customFormat="1" x14ac:dyDescent="0.35">
      <c r="A22" s="11"/>
      <c r="B22" s="12"/>
      <c r="C22" s="12"/>
      <c r="D22" s="12"/>
      <c r="E22" s="12"/>
      <c r="F22" s="12"/>
      <c r="G22" s="12" t="s">
        <v>19</v>
      </c>
      <c r="H22" s="12" t="s">
        <v>56</v>
      </c>
      <c r="I22" s="12" t="s">
        <v>57</v>
      </c>
      <c r="J22" s="12" t="s">
        <v>58</v>
      </c>
      <c r="K22" s="12" t="s">
        <v>59</v>
      </c>
      <c r="L22" s="13" t="s">
        <v>60</v>
      </c>
      <c r="M22" s="13" t="s">
        <v>20</v>
      </c>
      <c r="N22" s="13" t="s">
        <v>21</v>
      </c>
    </row>
    <row r="23" spans="1:14" s="2" customFormat="1" x14ac:dyDescent="0.35">
      <c r="A23"/>
      <c r="B23"/>
      <c r="C23"/>
      <c r="D23"/>
      <c r="E23"/>
      <c r="F23"/>
      <c r="G23" t="s">
        <v>22</v>
      </c>
      <c r="H23" s="5">
        <f>IF(B4=0,"",POWER($K4/B4,1/9)-1)</f>
        <v>7.5290157386170398E-2</v>
      </c>
      <c r="I23" s="5">
        <f>IF(D4=0,"",POWER($K4/D4,1/7)-1)</f>
        <v>8.1772081914101014E-2</v>
      </c>
      <c r="J23" s="5">
        <f>IF(F4=0,"",POWER($K4/F4,1/5)-1)</f>
        <v>8.8083322106701667E-2</v>
      </c>
      <c r="K23" s="5">
        <f>IF(H4=0,"",POWER($K4/H4, 1/3)-1)</f>
        <v>7.4927782346726923E-2</v>
      </c>
      <c r="L23" s="5">
        <f>IF(ISERROR(MAX(IF(J4=0,"",(K4-J4)/J4),IF(K4=0,"",(L4-K4)/K4))),"",MAX(IF(J4=0,"",(K4-J4)/J4),IF(K4=0,"",(L4-K4)/K4)))</f>
        <v>0.10880596078957842</v>
      </c>
      <c r="M23" s="16">
        <f>MAX(K23:L23)</f>
        <v>0.10880596078957842</v>
      </c>
      <c r="N23" s="16">
        <f>MIN(H23:L23)</f>
        <v>7.4927782346726923E-2</v>
      </c>
    </row>
    <row r="24" spans="1:14" x14ac:dyDescent="0.35">
      <c r="G24" t="s">
        <v>18</v>
      </c>
      <c r="H24" s="5">
        <f>IF(SUM(B4:$K$4)=0,"",SUMPRODUCT(B19:$K$19,B4:$K$4)/SUM(B4:$K$4))</f>
        <v>0.36333561776087531</v>
      </c>
      <c r="I24" s="5">
        <f>IF(SUM(E4:$K$4)=0,"",SUMPRODUCT(E19:$K$19,E4:$K$4)/SUM(E4:$K$4))</f>
        <v>0.361068770445239</v>
      </c>
      <c r="J24" s="5">
        <f>IF(SUM(G4:$K$4)=0,"",SUMPRODUCT(G19:$K$19,G4:$K$4)/SUM(G4:$K$4))</f>
        <v>0.35306244239396706</v>
      </c>
      <c r="K24" s="5">
        <f>IF(SUM(I4:$K$4)=0, "", SUMPRODUCT(I19:$K$19,I4:$K$4)/SUM(I4:$K$4))</f>
        <v>0.35826537739283482</v>
      </c>
      <c r="L24" s="5">
        <f>L19</f>
        <v>0.33721966722433339</v>
      </c>
      <c r="M24" s="16">
        <f>MAX(K24:L24)</f>
        <v>0.35826537739283482</v>
      </c>
      <c r="N24" s="16">
        <f>MIN(H24:L24)</f>
        <v>0.33721966722433339</v>
      </c>
    </row>
    <row r="25" spans="1:14" x14ac:dyDescent="0.35">
      <c r="G25" t="s">
        <v>23</v>
      </c>
      <c r="H25" s="6">
        <f>IF(ISERROR(AVERAGEIF(B14:$L14,"&gt;0")),"",AVERAGEIF(B14:$L14,"&gt;0"))</f>
        <v>21.539153830424631</v>
      </c>
      <c r="I25" s="6">
        <f>IF(ISERROR(AVERAGEIF(E14:$L14,"&gt;0")),"",AVERAGEIF(E14:$L14,"&gt;0"))</f>
        <v>18.977463999005248</v>
      </c>
      <c r="J25" s="6">
        <f>IF(ISERROR(AVERAGEIF(G14:$L14,"&gt;0")),"",AVERAGEIF(G14:$L14,"&gt;0"))</f>
        <v>18.628088735686863</v>
      </c>
      <c r="K25" s="6">
        <f>IF(ISERROR(AVERAGEIF(I14:$L14,"&gt;0")),"",AVERAGEIF(I14:$L14,"&gt;0"))</f>
        <v>18.404285965137639</v>
      </c>
      <c r="L25" s="6">
        <f>L14</f>
        <v>11.077440693919044</v>
      </c>
      <c r="M25" s="1">
        <f>MAX(K25:L25)</f>
        <v>18.404285965137639</v>
      </c>
      <c r="N25" s="1">
        <f>MIN(H25:L25)</f>
        <v>11.077440693919044</v>
      </c>
    </row>
    <row r="29" spans="1:14" x14ac:dyDescent="0.35">
      <c r="A29" t="s">
        <v>87</v>
      </c>
      <c r="B29">
        <f>'Data Sheet'!B17-'Data Sheet'!B18-'Data Sheet'!B19-'Data Sheet'!B20-'Data Sheet'!B21</f>
        <v>23079.37</v>
      </c>
      <c r="C29">
        <f>'Data Sheet'!C17-'Data Sheet'!C18-'Data Sheet'!C19-'Data Sheet'!C20-'Data Sheet'!C21</f>
        <v>25635.349999999995</v>
      </c>
      <c r="D29">
        <f>'Data Sheet'!D17-'Data Sheet'!D18-'Data Sheet'!D19-'Data Sheet'!D20-'Data Sheet'!D21</f>
        <v>27297.86</v>
      </c>
      <c r="E29">
        <f>'Data Sheet'!E17-'Data Sheet'!E18-'Data Sheet'!E19-'Data Sheet'!E20-'Data Sheet'!E21</f>
        <v>27895.130000000005</v>
      </c>
      <c r="F29">
        <f>'Data Sheet'!F17-'Data Sheet'!F18-'Data Sheet'!F19-'Data Sheet'!F20-'Data Sheet'!F21</f>
        <v>27946.829999999998</v>
      </c>
      <c r="G29">
        <f>'Data Sheet'!G17-'Data Sheet'!G18-'Data Sheet'!G19-'Data Sheet'!G20-'Data Sheet'!G21</f>
        <v>25548.729999999996</v>
      </c>
      <c r="H29">
        <f>'Data Sheet'!H17-'Data Sheet'!H18-'Data Sheet'!H19-'Data Sheet'!H20-'Data Sheet'!H21</f>
        <v>30110.03</v>
      </c>
      <c r="I29">
        <f>'Data Sheet'!I17-'Data Sheet'!I18-'Data Sheet'!I19-'Data Sheet'!I20-'Data Sheet'!I21</f>
        <v>37635.94</v>
      </c>
      <c r="J29">
        <f>'Data Sheet'!J17-'Data Sheet'!J18-'Data Sheet'!J19-'Data Sheet'!J20-'Data Sheet'!J21</f>
        <v>37078.94</v>
      </c>
      <c r="K29">
        <f>'Data Sheet'!K17-'Data Sheet'!K18-'Data Sheet'!K19-'Data Sheet'!K20-'Data Sheet'!K21</f>
        <v>38572.61</v>
      </c>
    </row>
    <row r="30" spans="1:14" x14ac:dyDescent="0.35">
      <c r="A30" t="s">
        <v>88</v>
      </c>
      <c r="B30" s="31">
        <f>B29/B4</f>
        <v>0.58887811574271343</v>
      </c>
      <c r="C30" s="31">
        <f t="shared" ref="C30:K30" si="6">C29/C4</f>
        <v>0.59941053507795616</v>
      </c>
      <c r="D30" s="31">
        <f t="shared" si="6"/>
        <v>0.62827447574095019</v>
      </c>
      <c r="E30" s="31">
        <f t="shared" si="6"/>
        <v>0.57706603987870819</v>
      </c>
      <c r="F30" s="31">
        <f t="shared" si="6"/>
        <v>0.565866197454022</v>
      </c>
      <c r="G30" s="31">
        <f t="shared" si="6"/>
        <v>0.51867747924425645</v>
      </c>
      <c r="H30" s="31">
        <f t="shared" si="6"/>
        <v>0.49650026201864172</v>
      </c>
      <c r="I30" s="31">
        <f t="shared" si="6"/>
        <v>0.53068887152009836</v>
      </c>
      <c r="J30" s="31">
        <f t="shared" si="6"/>
        <v>0.54582483585777175</v>
      </c>
      <c r="K30" s="31">
        <f t="shared" si="6"/>
        <v>0.51209372818571242</v>
      </c>
    </row>
    <row r="31" spans="1:14" x14ac:dyDescent="0.35">
      <c r="A31" t="s">
        <v>90</v>
      </c>
      <c r="B31" s="31">
        <f>B6/B4</f>
        <v>0.37077599822413199</v>
      </c>
      <c r="C31" s="31">
        <f t="shared" ref="C31:K31" si="7">C6/C4</f>
        <v>0.36171096811605047</v>
      </c>
      <c r="D31" s="31">
        <f t="shared" si="7"/>
        <v>0.38022998950031928</v>
      </c>
      <c r="E31" s="31">
        <f t="shared" si="7"/>
        <v>0.38348264507056129</v>
      </c>
      <c r="F31" s="31">
        <f t="shared" si="7"/>
        <v>0.39166715599228147</v>
      </c>
      <c r="G31" s="31">
        <f t="shared" si="7"/>
        <v>0.34644058919006154</v>
      </c>
      <c r="H31" s="31">
        <f t="shared" si="7"/>
        <v>0.3400660636555245</v>
      </c>
      <c r="I31" s="31">
        <f t="shared" si="7"/>
        <v>0.36244517162741785</v>
      </c>
      <c r="J31" s="31">
        <f t="shared" si="7"/>
        <v>0.37077595605248426</v>
      </c>
      <c r="K31" s="31">
        <f t="shared" si="7"/>
        <v>0.34304705553418102</v>
      </c>
    </row>
    <row r="32" spans="1:14" x14ac:dyDescent="0.35">
      <c r="A32" t="s">
        <v>91</v>
      </c>
      <c r="B32" s="32">
        <f>B6-B8</f>
        <v>13454.090000000002</v>
      </c>
      <c r="C32" s="32">
        <f t="shared" ref="C32:K32" si="8">C6-C8</f>
        <v>14316.719999999998</v>
      </c>
      <c r="D32" s="32">
        <f t="shared" si="8"/>
        <v>15284.310000000003</v>
      </c>
      <c r="E32" s="32">
        <f t="shared" si="8"/>
        <v>17140.780000000002</v>
      </c>
      <c r="F32" s="32">
        <f t="shared" si="8"/>
        <v>17698.629999999997</v>
      </c>
      <c r="G32" s="32">
        <f t="shared" si="8"/>
        <v>15419.189999999995</v>
      </c>
      <c r="H32" s="32">
        <f t="shared" si="8"/>
        <v>18890.740000000002</v>
      </c>
      <c r="I32" s="32">
        <f t="shared" si="8"/>
        <v>23895.249999999996</v>
      </c>
      <c r="J32" s="32">
        <f t="shared" si="8"/>
        <v>23669.48</v>
      </c>
      <c r="K32" s="32">
        <f t="shared" si="8"/>
        <v>24193.129999999997</v>
      </c>
    </row>
    <row r="33" spans="1:11" x14ac:dyDescent="0.35">
      <c r="A33" t="s">
        <v>92</v>
      </c>
      <c r="B33" s="31">
        <f>B32/B4</f>
        <v>0.34328576422289192</v>
      </c>
      <c r="C33" s="31">
        <f t="shared" ref="C33:K33" si="9">C32/C4</f>
        <v>0.33475621732339428</v>
      </c>
      <c r="D33" s="31">
        <f t="shared" si="9"/>
        <v>0.35177636094229231</v>
      </c>
      <c r="E33" s="31">
        <f t="shared" si="9"/>
        <v>0.35459099975630737</v>
      </c>
      <c r="F33" s="31">
        <f t="shared" si="9"/>
        <v>0.35836108990700111</v>
      </c>
      <c r="G33" s="31">
        <f t="shared" si="9"/>
        <v>0.31303264785326884</v>
      </c>
      <c r="H33" s="31">
        <f t="shared" si="9"/>
        <v>0.3114994358931571</v>
      </c>
      <c r="I33" s="31">
        <f t="shared" si="9"/>
        <v>0.33693706752616326</v>
      </c>
      <c r="J33" s="31">
        <f t="shared" si="9"/>
        <v>0.34842932499793172</v>
      </c>
      <c r="K33" s="31">
        <f t="shared" si="9"/>
        <v>0.3211903508261848</v>
      </c>
    </row>
    <row r="34" spans="1:11" x14ac:dyDescent="0.35">
      <c r="A34" t="s">
        <v>95</v>
      </c>
      <c r="B34" s="31">
        <f>B12/B4</f>
        <v>0.23842687684507849</v>
      </c>
      <c r="C34" s="31">
        <f t="shared" ref="C34:K34" si="10">C12/C4</f>
        <v>0.2405896052151629</v>
      </c>
      <c r="D34" s="31">
        <f t="shared" si="10"/>
        <v>0.25941254263049918</v>
      </c>
      <c r="E34" s="31">
        <f t="shared" si="10"/>
        <v>0.26049729848707825</v>
      </c>
      <c r="F34" s="31">
        <f t="shared" si="10"/>
        <v>0.30991987883622846</v>
      </c>
      <c r="G34" s="31">
        <f t="shared" si="10"/>
        <v>0.26719186640802561</v>
      </c>
      <c r="H34" s="31">
        <f t="shared" si="10"/>
        <v>0.25134430898478244</v>
      </c>
      <c r="I34" s="31">
        <f t="shared" si="10"/>
        <v>0.27061368436652333</v>
      </c>
      <c r="J34" s="31">
        <f t="shared" si="10"/>
        <v>0.30116584334261615</v>
      </c>
      <c r="K34" s="31">
        <f t="shared" si="10"/>
        <v>0.46129964497060272</v>
      </c>
    </row>
    <row r="35" spans="1:11" x14ac:dyDescent="0.35">
      <c r="A35" t="s">
        <v>97</v>
      </c>
      <c r="C35" s="31">
        <f>C13/B13-1</f>
        <v>3.857618158372067E-2</v>
      </c>
      <c r="D35" s="31">
        <f t="shared" ref="D35:K35" si="11">D13/C13-1</f>
        <v>0.14868574786237798</v>
      </c>
      <c r="E35" s="31">
        <f t="shared" si="11"/>
        <v>0.11226415363943576</v>
      </c>
      <c r="F35" s="31">
        <f t="shared" si="11"/>
        <v>0.21219753037533184</v>
      </c>
      <c r="G35" s="31">
        <f t="shared" si="11"/>
        <v>-0.14130125821657724</v>
      </c>
      <c r="H35" s="31">
        <f t="shared" si="11"/>
        <v>0.15678939252669122</v>
      </c>
      <c r="I35" s="31">
        <f t="shared" si="11"/>
        <v>0.24846840219768396</v>
      </c>
      <c r="J35" s="31">
        <f t="shared" si="11"/>
        <v>6.1183099651693551E-2</v>
      </c>
      <c r="K35" s="31">
        <f t="shared" si="11"/>
        <v>0.69438246108164581</v>
      </c>
    </row>
    <row r="36" spans="1:11" x14ac:dyDescent="0.35">
      <c r="A36" t="s">
        <v>98</v>
      </c>
      <c r="B36" s="32">
        <f>B13*B18</f>
        <v>5.666666666666667</v>
      </c>
      <c r="C36" s="32">
        <f t="shared" ref="C36:K36" si="12">C13*C18</f>
        <v>4.5085991851840328</v>
      </c>
      <c r="D36" s="32">
        <f t="shared" si="12"/>
        <v>5.1499963127750057</v>
      </c>
      <c r="E36" s="32">
        <f t="shared" si="12"/>
        <v>5.7500040787691908</v>
      </c>
      <c r="F36" s="32">
        <f t="shared" si="12"/>
        <v>10.149997559427931</v>
      </c>
      <c r="G36" s="32">
        <f t="shared" si="12"/>
        <v>10.749999999999998</v>
      </c>
      <c r="H36" s="32">
        <f t="shared" si="12"/>
        <v>11.500004057354767</v>
      </c>
      <c r="I36" s="32">
        <f t="shared" si="12"/>
        <v>15.500000000000004</v>
      </c>
      <c r="J36" s="32">
        <f t="shared" si="12"/>
        <v>13.749997997549</v>
      </c>
      <c r="K36" s="32">
        <f t="shared" si="12"/>
        <v>14.349997203154841</v>
      </c>
    </row>
    <row r="37" spans="1:11" x14ac:dyDescent="0.35">
      <c r="A37" t="s">
        <v>99</v>
      </c>
      <c r="C37" s="31">
        <f>C36/B36-1</f>
        <v>-0.20436484967340607</v>
      </c>
      <c r="D37" s="31">
        <f t="shared" ref="D37:K37" si="13">D36/C36-1</f>
        <v>0.14226084449882004</v>
      </c>
      <c r="E37" s="31">
        <f t="shared" si="13"/>
        <v>0.11650644574362401</v>
      </c>
      <c r="F37" s="31">
        <f t="shared" si="13"/>
        <v>0.76521571469921024</v>
      </c>
      <c r="G37" s="31">
        <f t="shared" si="13"/>
        <v>5.9113555156941722E-2</v>
      </c>
      <c r="H37" s="31">
        <f t="shared" si="13"/>
        <v>6.9767819288815591E-2</v>
      </c>
      <c r="I37" s="31">
        <f t="shared" si="13"/>
        <v>0.34782561142550739</v>
      </c>
      <c r="J37" s="31">
        <f t="shared" si="13"/>
        <v>-0.1129033549968389</v>
      </c>
      <c r="K37" s="31">
        <f t="shared" si="13"/>
        <v>4.3636312217121276E-2</v>
      </c>
    </row>
    <row r="40" spans="1:11" x14ac:dyDescent="0.35">
      <c r="A40" t="s">
        <v>104</v>
      </c>
      <c r="B40" s="41">
        <f>'Data Sheet'!B93*'Data Sheet'!B90</f>
        <v>247608.32039999997</v>
      </c>
      <c r="C40" s="41">
        <f>'Data Sheet'!C93*'Data Sheet'!C90</f>
        <v>319172.935</v>
      </c>
      <c r="D40" s="41">
        <f>'Data Sheet'!D93*'Data Sheet'!D90</f>
        <v>292292.98500000004</v>
      </c>
      <c r="E40" s="41">
        <f>'Data Sheet'!E93*'Data Sheet'!E90</f>
        <v>341573.63039999997</v>
      </c>
      <c r="F40" s="41">
        <f>'Data Sheet'!F93*'Data Sheet'!F90</f>
        <v>197842.959</v>
      </c>
      <c r="G40" s="41">
        <f>'Data Sheet'!G93*'Data Sheet'!G90</f>
        <v>252108.84160000001</v>
      </c>
      <c r="H40" s="41">
        <f>'Data Sheet'!H93*'Data Sheet'!H90</f>
        <v>289548.25679999997</v>
      </c>
      <c r="I40" s="41">
        <f>'Data Sheet'!I93*'Data Sheet'!I90</f>
        <v>446774.17200000002</v>
      </c>
      <c r="J40" s="41">
        <f>'Data Sheet'!J93*'Data Sheet'!J90</f>
        <v>501298.15909999999</v>
      </c>
      <c r="K40" s="41">
        <f>'Data Sheet'!K93*'Data Sheet'!K90</f>
        <v>512765.24750000006</v>
      </c>
    </row>
    <row r="41" spans="1:11" x14ac:dyDescent="0.35">
      <c r="A41" t="s">
        <v>105</v>
      </c>
      <c r="B41">
        <f>'Balance Sheet'!E6</f>
        <v>13.44</v>
      </c>
      <c r="C41">
        <f>'Balance Sheet'!F6</f>
        <v>277.45</v>
      </c>
      <c r="D41">
        <f>'Balance Sheet'!G6</f>
        <v>270.83</v>
      </c>
      <c r="E41">
        <f>'Balance Sheet'!H6</f>
        <v>249.44</v>
      </c>
      <c r="F41">
        <f>'Balance Sheet'!I6</f>
        <v>306.04000000000002</v>
      </c>
      <c r="G41">
        <f>'Balance Sheet'!J6</f>
        <v>303.43</v>
      </c>
      <c r="H41">
        <f>'Balance Sheet'!K6</f>
        <v>284.54000000000002</v>
      </c>
      <c r="I41">
        <f>'Balance Sheet'!L6</f>
        <v>0</v>
      </c>
      <c r="J41">
        <f>'Balance Sheet'!M6</f>
        <v>0</v>
      </c>
      <c r="K41">
        <f>'Balance Sheet'!N6</f>
        <v>0</v>
      </c>
    </row>
    <row r="42" spans="1:11" x14ac:dyDescent="0.35">
      <c r="A42" t="s">
        <v>106</v>
      </c>
      <c r="B42">
        <f>'Data Sheet'!B69</f>
        <v>6063.3</v>
      </c>
      <c r="C42">
        <f>'Data Sheet'!C69</f>
        <v>2967.4</v>
      </c>
      <c r="D42">
        <f>'Data Sheet'!D69</f>
        <v>2899.6</v>
      </c>
      <c r="E42">
        <f>'Data Sheet'!E69</f>
        <v>4152.03</v>
      </c>
      <c r="F42">
        <f>'Data Sheet'!F69</f>
        <v>7277.34</v>
      </c>
      <c r="G42">
        <f>'Data Sheet'!G69</f>
        <v>4659.0200000000004</v>
      </c>
      <c r="H42">
        <f>'Data Sheet'!H69</f>
        <v>4654.42</v>
      </c>
      <c r="I42">
        <f>'Data Sheet'!I69</f>
        <v>4880.1899999999996</v>
      </c>
      <c r="J42">
        <f>'Data Sheet'!J69</f>
        <v>7217.68</v>
      </c>
      <c r="K42">
        <f>'Data Sheet'!K69</f>
        <v>4012.36</v>
      </c>
    </row>
    <row r="43" spans="1:11" x14ac:dyDescent="0.35">
      <c r="A43" t="s">
        <v>107</v>
      </c>
      <c r="B43" s="41">
        <f>B40+B41-B42</f>
        <v>241558.46039999998</v>
      </c>
      <c r="C43" s="41">
        <f t="shared" ref="C43:K43" si="14">C40+C41-C42</f>
        <v>316482.98499999999</v>
      </c>
      <c r="D43" s="41">
        <f t="shared" si="14"/>
        <v>289664.21500000008</v>
      </c>
      <c r="E43" s="41">
        <f t="shared" si="14"/>
        <v>337671.04039999994</v>
      </c>
      <c r="F43" s="41">
        <f t="shared" si="14"/>
        <v>190871.65900000001</v>
      </c>
      <c r="G43" s="41">
        <f t="shared" si="14"/>
        <v>247753.25160000002</v>
      </c>
      <c r="H43" s="41">
        <f t="shared" si="14"/>
        <v>285178.37679999997</v>
      </c>
      <c r="I43" s="41">
        <f t="shared" si="14"/>
        <v>441893.98200000002</v>
      </c>
      <c r="J43" s="41">
        <f t="shared" si="14"/>
        <v>494080.4791</v>
      </c>
      <c r="K43" s="41">
        <f t="shared" si="14"/>
        <v>508752.88750000007</v>
      </c>
    </row>
    <row r="45" spans="1:11" x14ac:dyDescent="0.35">
      <c r="A45" t="s">
        <v>117</v>
      </c>
      <c r="B45" s="44">
        <f>B43/B6</f>
        <v>16.623103370679811</v>
      </c>
      <c r="C45" s="44">
        <f t="shared" ref="C45:K45" si="15">C43/C6</f>
        <v>20.45850094799383</v>
      </c>
      <c r="D45" s="44">
        <f t="shared" si="15"/>
        <v>17.533527252961306</v>
      </c>
      <c r="E45" s="44">
        <f t="shared" si="15"/>
        <v>18.215673317549012</v>
      </c>
      <c r="F45" s="44">
        <f t="shared" si="15"/>
        <v>9.8674626774623491</v>
      </c>
      <c r="G45" s="44">
        <f t="shared" si="15"/>
        <v>14.518397049361321</v>
      </c>
      <c r="H45" s="44">
        <f t="shared" si="15"/>
        <v>13.828070726343936</v>
      </c>
      <c r="I45" s="44">
        <f t="shared" si="15"/>
        <v>17.19146872930791</v>
      </c>
      <c r="J45" s="44">
        <f t="shared" si="15"/>
        <v>19.616075061746827</v>
      </c>
      <c r="K45" s="44">
        <f t="shared" si="15"/>
        <v>19.688998314592613</v>
      </c>
    </row>
    <row r="46" spans="1:11" x14ac:dyDescent="0.35">
      <c r="A46" t="s">
        <v>118</v>
      </c>
      <c r="B46" s="44">
        <f>B43/B4</f>
        <v>6.1634477458467396</v>
      </c>
      <c r="C46" s="44">
        <f t="shared" ref="C46:K46" si="16">C43/C4</f>
        <v>7.4000641841019839</v>
      </c>
      <c r="D46" s="44">
        <f t="shared" si="16"/>
        <v>6.666772883297039</v>
      </c>
      <c r="E46" s="44">
        <f t="shared" si="16"/>
        <v>6.9853945855549409</v>
      </c>
      <c r="F46" s="44">
        <f t="shared" si="16"/>
        <v>3.8647610437416611</v>
      </c>
      <c r="G46" s="44">
        <f t="shared" si="16"/>
        <v>5.0297620278759867</v>
      </c>
      <c r="H46" s="44">
        <f t="shared" si="16"/>
        <v>4.7024575798579722</v>
      </c>
      <c r="I46" s="44">
        <f t="shared" si="16"/>
        <v>6.2309648341213917</v>
      </c>
      <c r="J46" s="44">
        <f t="shared" si="16"/>
        <v>7.2731689850164738</v>
      </c>
      <c r="K46" s="44">
        <f t="shared" si="16"/>
        <v>6.7542528982384491</v>
      </c>
    </row>
    <row r="48" spans="1:11" x14ac:dyDescent="0.35">
      <c r="A48" t="s">
        <v>120</v>
      </c>
      <c r="E48" s="32">
        <f>E40/'Balance Sheet'!E26</f>
        <v>5.7755936021908356</v>
      </c>
      <c r="F48" s="32">
        <f>F40/'Balance Sheet'!F26</f>
        <v>3.0309955255796939</v>
      </c>
      <c r="G48" s="32">
        <f>G40/'Balance Sheet'!G26</f>
        <v>4.177629728170289</v>
      </c>
      <c r="H48" s="32">
        <f>H40/'Balance Sheet'!H26</f>
        <v>4.6360677966753006</v>
      </c>
      <c r="I48" s="32">
        <f>I40/'Balance Sheet'!I26</f>
        <v>6.4604510488428497</v>
      </c>
      <c r="J48" s="32">
        <f>J40/'Balance Sheet'!J26</f>
        <v>6.728202170265881</v>
      </c>
      <c r="K48" s="32">
        <f>K40/'Balance Sheet'!K26</f>
        <v>7.3220745594212779</v>
      </c>
    </row>
    <row r="50" spans="1:2" x14ac:dyDescent="0.35">
      <c r="A50" t="s">
        <v>141</v>
      </c>
      <c r="B50" s="30">
        <v>0.36109999999999998</v>
      </c>
    </row>
    <row r="51" spans="1:2" x14ac:dyDescent="0.35">
      <c r="A51" t="s">
        <v>142</v>
      </c>
      <c r="B51" s="30">
        <v>0.48899999999999999</v>
      </c>
    </row>
    <row r="52" spans="1:2" x14ac:dyDescent="0.35">
      <c r="A52" t="s">
        <v>143</v>
      </c>
      <c r="B52" s="30">
        <v>0.14949999999999999</v>
      </c>
    </row>
  </sheetData>
  <hyperlinks>
    <hyperlink ref="M1" r:id="rId1" xr:uid="{00000000-0004-0000-0000-000000000000}"/>
  </hyperlinks>
  <printOptions gridLines="1"/>
  <pageMargins left="0.7" right="0.7" top="0.75" bottom="0.75" header="0.3" footer="0.3"/>
  <pageSetup paperSize="9" orientation="landscape" horizontalDpi="300" verticalDpi="300"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81640625" defaultRowHeight="14.5" x14ac:dyDescent="0.35"/>
  <cols>
    <col min="1" max="1" width="20.6328125" customWidth="1"/>
    <col min="2" max="11" width="13.453125" bestFit="1" customWidth="1"/>
  </cols>
  <sheetData>
    <row r="1" spans="1:11" s="2" customFormat="1" x14ac:dyDescent="0.35">
      <c r="A1" s="2" t="str">
        <f>'Profit-Loss'!A1</f>
        <v>ITC LTD</v>
      </c>
      <c r="E1" t="str">
        <f>UPDATE</f>
        <v/>
      </c>
      <c r="J1" s="2" t="s">
        <v>1</v>
      </c>
    </row>
    <row r="3" spans="1:11" s="2" customFormat="1" x14ac:dyDescent="0.35">
      <c r="A3" s="11" t="s">
        <v>2</v>
      </c>
      <c r="B3" s="12">
        <f>'Data Sheet'!B41</f>
        <v>45199</v>
      </c>
      <c r="C3" s="12">
        <f>'Data Sheet'!C41</f>
        <v>45291</v>
      </c>
      <c r="D3" s="12">
        <f>'Data Sheet'!D41</f>
        <v>45382</v>
      </c>
      <c r="E3" s="12">
        <f>'Data Sheet'!E41</f>
        <v>45473</v>
      </c>
      <c r="F3" s="12">
        <f>'Data Sheet'!F41</f>
        <v>45565</v>
      </c>
      <c r="G3" s="12">
        <f>'Data Sheet'!G41</f>
        <v>45657</v>
      </c>
      <c r="H3" s="12">
        <f>'Data Sheet'!H41</f>
        <v>45747</v>
      </c>
      <c r="I3" s="12">
        <f>'Data Sheet'!I41</f>
        <v>45838</v>
      </c>
      <c r="J3" s="12">
        <f>'Data Sheet'!J41</f>
        <v>45930</v>
      </c>
      <c r="K3" s="12">
        <f>'Data Sheet'!K41</f>
        <v>46022</v>
      </c>
    </row>
    <row r="4" spans="1:11" s="2" customFormat="1" x14ac:dyDescent="0.35">
      <c r="A4" s="2" t="s">
        <v>6</v>
      </c>
      <c r="B4" s="1">
        <f>'Data Sheet'!B42</f>
        <v>17774.47</v>
      </c>
      <c r="C4" s="1">
        <f>'Data Sheet'!C42</f>
        <v>17195.240000000002</v>
      </c>
      <c r="D4" s="1">
        <f>'Data Sheet'!D42</f>
        <v>17037.8</v>
      </c>
      <c r="E4" s="1">
        <f>'Data Sheet'!E42</f>
        <v>17777.810000000001</v>
      </c>
      <c r="F4" s="1">
        <f>'Data Sheet'!F42</f>
        <v>19990.36</v>
      </c>
      <c r="G4" s="1">
        <f>'Data Sheet'!G42</f>
        <v>18790.169999999998</v>
      </c>
      <c r="H4" s="1">
        <f>'Data Sheet'!H42</f>
        <v>18765</v>
      </c>
      <c r="I4" s="1">
        <f>'Data Sheet'!I42</f>
        <v>21494.79</v>
      </c>
      <c r="J4" s="1">
        <f>'Data Sheet'!J42</f>
        <v>19501.63</v>
      </c>
      <c r="K4" s="1">
        <f>'Data Sheet'!K42</f>
        <v>20047.3</v>
      </c>
    </row>
    <row r="5" spans="1:11" x14ac:dyDescent="0.35">
      <c r="A5" t="s">
        <v>7</v>
      </c>
      <c r="B5" s="6">
        <f>'Data Sheet'!B43</f>
        <v>11320.23</v>
      </c>
      <c r="C5" s="6">
        <f>'Data Sheet'!C43</f>
        <v>10985.01</v>
      </c>
      <c r="D5" s="6">
        <f>'Data Sheet'!D43</f>
        <v>10735.73</v>
      </c>
      <c r="E5" s="6">
        <f>'Data Sheet'!E43</f>
        <v>11232.97</v>
      </c>
      <c r="F5" s="6">
        <f>'Data Sheet'!F43</f>
        <v>13438.28</v>
      </c>
      <c r="G5" s="6">
        <f>'Data Sheet'!G43</f>
        <v>12428.27</v>
      </c>
      <c r="H5" s="6">
        <f>'Data Sheet'!H43</f>
        <v>12245.61</v>
      </c>
      <c r="I5" s="6">
        <f>'Data Sheet'!I43</f>
        <v>14678.32</v>
      </c>
      <c r="J5" s="6">
        <f>'Data Sheet'!J43</f>
        <v>12806.94</v>
      </c>
      <c r="K5" s="6">
        <f>'Data Sheet'!K43</f>
        <v>13164.78</v>
      </c>
    </row>
    <row r="6" spans="1:11" s="2" customFormat="1" x14ac:dyDescent="0.35">
      <c r="A6" s="2" t="s">
        <v>8</v>
      </c>
      <c r="B6" s="1">
        <f>'Data Sheet'!B50</f>
        <v>6454.24</v>
      </c>
      <c r="C6" s="1">
        <f>'Data Sheet'!C50</f>
        <v>6210.23</v>
      </c>
      <c r="D6" s="1">
        <f>'Data Sheet'!D50</f>
        <v>6302.07</v>
      </c>
      <c r="E6" s="1">
        <f>'Data Sheet'!E50</f>
        <v>6544.84</v>
      </c>
      <c r="F6" s="1">
        <f>'Data Sheet'!F50</f>
        <v>6552.08</v>
      </c>
      <c r="G6" s="1">
        <f>'Data Sheet'!G50</f>
        <v>6361.9</v>
      </c>
      <c r="H6" s="1">
        <f>'Data Sheet'!H50</f>
        <v>6519.39</v>
      </c>
      <c r="I6" s="1">
        <f>'Data Sheet'!I50</f>
        <v>6816.47</v>
      </c>
      <c r="J6" s="1">
        <f>'Data Sheet'!J50</f>
        <v>6694.69</v>
      </c>
      <c r="K6" s="1">
        <f>'Data Sheet'!K50</f>
        <v>6882.52</v>
      </c>
    </row>
    <row r="7" spans="1:11" x14ac:dyDescent="0.35">
      <c r="A7" t="s">
        <v>9</v>
      </c>
      <c r="B7" s="6">
        <f>'Data Sheet'!B44</f>
        <v>673.5</v>
      </c>
      <c r="C7" s="6">
        <f>'Data Sheet'!C44</f>
        <v>820.26</v>
      </c>
      <c r="D7" s="6">
        <f>'Data Sheet'!D44</f>
        <v>868</v>
      </c>
      <c r="E7" s="6">
        <f>'Data Sheet'!E44</f>
        <v>771.13</v>
      </c>
      <c r="F7" s="6">
        <f>'Data Sheet'!F44</f>
        <v>690.31</v>
      </c>
      <c r="G7" s="6">
        <f>'Data Sheet'!G44</f>
        <v>803.4</v>
      </c>
      <c r="H7" s="6">
        <f>'Data Sheet'!H44</f>
        <v>15391.28</v>
      </c>
      <c r="I7" s="6">
        <f>'Data Sheet'!I44</f>
        <v>750.97</v>
      </c>
      <c r="J7" s="6">
        <f>'Data Sheet'!J44</f>
        <v>738.84</v>
      </c>
      <c r="K7" s="6">
        <f>'Data Sheet'!K44</f>
        <v>321.85000000000002</v>
      </c>
    </row>
    <row r="8" spans="1:11" x14ac:dyDescent="0.35">
      <c r="A8" t="s">
        <v>10</v>
      </c>
      <c r="B8" s="6">
        <f>'Data Sheet'!B45</f>
        <v>453.04</v>
      </c>
      <c r="C8" s="6">
        <f>'Data Sheet'!C45</f>
        <v>384.04</v>
      </c>
      <c r="D8" s="6">
        <f>'Data Sheet'!D45</f>
        <v>385.09</v>
      </c>
      <c r="E8" s="6">
        <f>'Data Sheet'!E45</f>
        <v>403.13</v>
      </c>
      <c r="F8" s="6">
        <f>'Data Sheet'!F45</f>
        <v>416.18</v>
      </c>
      <c r="G8" s="6">
        <f>'Data Sheet'!G45</f>
        <v>415.98</v>
      </c>
      <c r="H8" s="6">
        <f>'Data Sheet'!H45</f>
        <v>411.03</v>
      </c>
      <c r="I8" s="6">
        <f>'Data Sheet'!I45</f>
        <v>422.96</v>
      </c>
      <c r="J8" s="6">
        <f>'Data Sheet'!J45</f>
        <v>434.8</v>
      </c>
      <c r="K8" s="6">
        <f>'Data Sheet'!K45</f>
        <v>430.82</v>
      </c>
    </row>
    <row r="9" spans="1:11" x14ac:dyDescent="0.35">
      <c r="A9" t="s">
        <v>11</v>
      </c>
      <c r="B9" s="6">
        <f>'Data Sheet'!B46</f>
        <v>9.8699999999999992</v>
      </c>
      <c r="C9" s="6">
        <f>'Data Sheet'!C46</f>
        <v>11.94</v>
      </c>
      <c r="D9" s="6">
        <f>'Data Sheet'!D46</f>
        <v>10.72</v>
      </c>
      <c r="E9" s="6">
        <f>'Data Sheet'!E46</f>
        <v>9.6</v>
      </c>
      <c r="F9" s="6">
        <f>'Data Sheet'!F46</f>
        <v>14.73</v>
      </c>
      <c r="G9" s="6">
        <f>'Data Sheet'!G46</f>
        <v>9.82</v>
      </c>
      <c r="H9" s="6">
        <f>'Data Sheet'!H46</f>
        <v>10.91</v>
      </c>
      <c r="I9" s="6">
        <f>'Data Sheet'!I46</f>
        <v>16.47</v>
      </c>
      <c r="J9" s="6">
        <f>'Data Sheet'!J46</f>
        <v>20.05</v>
      </c>
      <c r="K9" s="6">
        <f>'Data Sheet'!K46</f>
        <v>19.47</v>
      </c>
    </row>
    <row r="10" spans="1:11" x14ac:dyDescent="0.35">
      <c r="A10" t="s">
        <v>12</v>
      </c>
      <c r="B10" s="6">
        <f>'Data Sheet'!B47</f>
        <v>6664.83</v>
      </c>
      <c r="C10" s="6">
        <f>'Data Sheet'!C47</f>
        <v>6634.51</v>
      </c>
      <c r="D10" s="6">
        <f>'Data Sheet'!D47</f>
        <v>6774.26</v>
      </c>
      <c r="E10" s="6">
        <f>'Data Sheet'!E47</f>
        <v>6903.24</v>
      </c>
      <c r="F10" s="6">
        <f>'Data Sheet'!F47</f>
        <v>6811.48</v>
      </c>
      <c r="G10" s="6">
        <f>'Data Sheet'!G47</f>
        <v>6739.5</v>
      </c>
      <c r="H10" s="6">
        <f>'Data Sheet'!H47</f>
        <v>21488.73</v>
      </c>
      <c r="I10" s="6">
        <f>'Data Sheet'!I47</f>
        <v>7128.01</v>
      </c>
      <c r="J10" s="6">
        <f>'Data Sheet'!J47</f>
        <v>6978.68</v>
      </c>
      <c r="K10" s="6">
        <f>'Data Sheet'!K47</f>
        <v>6754.08</v>
      </c>
    </row>
    <row r="11" spans="1:11" x14ac:dyDescent="0.35">
      <c r="A11" t="s">
        <v>13</v>
      </c>
      <c r="B11" s="6">
        <f>'Data Sheet'!B48</f>
        <v>1700.31</v>
      </c>
      <c r="C11" s="6">
        <f>'Data Sheet'!C48</f>
        <v>1227.99</v>
      </c>
      <c r="D11" s="6">
        <f>'Data Sheet'!D48</f>
        <v>1583.55</v>
      </c>
      <c r="E11" s="6">
        <f>'Data Sheet'!E48</f>
        <v>1726.25</v>
      </c>
      <c r="F11" s="6">
        <f>'Data Sheet'!F48</f>
        <v>1757.05</v>
      </c>
      <c r="G11" s="6">
        <f>'Data Sheet'!G48</f>
        <v>1726.32</v>
      </c>
      <c r="H11" s="6">
        <f>'Data Sheet'!H48</f>
        <v>1680.85</v>
      </c>
      <c r="I11" s="6">
        <f>'Data Sheet'!I48</f>
        <v>1784.6</v>
      </c>
      <c r="J11" s="6">
        <f>'Data Sheet'!J48</f>
        <v>1792.13</v>
      </c>
      <c r="K11" s="6">
        <f>'Data Sheet'!K48</f>
        <v>1735.63</v>
      </c>
    </row>
    <row r="12" spans="1:11" s="2" customFormat="1" x14ac:dyDescent="0.35">
      <c r="A12" s="2" t="s">
        <v>14</v>
      </c>
      <c r="B12" s="1">
        <f>'Data Sheet'!B49</f>
        <v>4898.07</v>
      </c>
      <c r="C12" s="1">
        <f>'Data Sheet'!C49</f>
        <v>5335.23</v>
      </c>
      <c r="D12" s="1">
        <f>'Data Sheet'!D49</f>
        <v>5120.55</v>
      </c>
      <c r="E12" s="1">
        <f>'Data Sheet'!E49</f>
        <v>5091.59</v>
      </c>
      <c r="F12" s="1">
        <f>'Data Sheet'!F49</f>
        <v>4992.87</v>
      </c>
      <c r="G12" s="1">
        <f>'Data Sheet'!G49</f>
        <v>4934.8</v>
      </c>
      <c r="H12" s="1">
        <f>'Data Sheet'!H49</f>
        <v>19727.37</v>
      </c>
      <c r="I12" s="1">
        <f>'Data Sheet'!I49</f>
        <v>5244.2</v>
      </c>
      <c r="J12" s="1">
        <f>'Data Sheet'!J49</f>
        <v>5126.1099999999997</v>
      </c>
      <c r="K12" s="1">
        <f>'Data Sheet'!K49</f>
        <v>4931.1899999999996</v>
      </c>
    </row>
    <row r="14" spans="1:11" s="2" customFormat="1" x14ac:dyDescent="0.35">
      <c r="A14" s="2" t="s">
        <v>18</v>
      </c>
      <c r="B14" s="10">
        <f>IF(B4&gt;0,B6/B4,"")</f>
        <v>0.3631185627475812</v>
      </c>
      <c r="C14" s="10">
        <f t="shared" ref="C14:K14" si="0">IF(C4&gt;0,C6/C4,"")</f>
        <v>0.36115983260483708</v>
      </c>
      <c r="D14" s="10">
        <f t="shared" si="0"/>
        <v>0.36988754416650038</v>
      </c>
      <c r="E14" s="10">
        <f t="shared" si="0"/>
        <v>0.36814658273431877</v>
      </c>
      <c r="F14" s="10">
        <f t="shared" si="0"/>
        <v>0.32776198127497452</v>
      </c>
      <c r="G14" s="10">
        <f t="shared" si="0"/>
        <v>0.3385759681791064</v>
      </c>
      <c r="H14" s="10">
        <f t="shared" si="0"/>
        <v>0.34742286171063153</v>
      </c>
      <c r="I14" s="10">
        <f t="shared" si="0"/>
        <v>0.31712196304313744</v>
      </c>
      <c r="J14" s="10">
        <f t="shared" si="0"/>
        <v>0.34328874047964192</v>
      </c>
      <c r="K14" s="10">
        <f t="shared" si="0"/>
        <v>0.34331406224279581</v>
      </c>
    </row>
    <row r="22" s="20" customFormat="1" x14ac:dyDescent="0.35"/>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6"/>
  <sheetViews>
    <sheetView zoomScale="120" zoomScaleNormal="120" workbookViewId="0">
      <pane xSplit="1" ySplit="3" topLeftCell="E17" activePane="bottomRight" state="frozen"/>
      <selection activeCell="C4" sqref="C4"/>
      <selection pane="topRight" activeCell="C4" sqref="C4"/>
      <selection pane="bottomLeft" activeCell="C4" sqref="C4"/>
      <selection pane="bottomRight" activeCell="E27" sqref="E27"/>
    </sheetView>
  </sheetViews>
  <sheetFormatPr defaultColWidth="8.81640625" defaultRowHeight="14.5" x14ac:dyDescent="0.35"/>
  <cols>
    <col min="1" max="1" width="22.81640625" bestFit="1" customWidth="1"/>
    <col min="2" max="2" width="13.453125" customWidth="1"/>
    <col min="3" max="11" width="15.453125" customWidth="1"/>
  </cols>
  <sheetData>
    <row r="1" spans="1:11" s="2" customFormat="1" x14ac:dyDescent="0.35">
      <c r="A1" s="2" t="str">
        <f>'Profit-Loss'!A1</f>
        <v>ITC LTD</v>
      </c>
      <c r="E1" t="str">
        <f>UPDATE</f>
        <v/>
      </c>
      <c r="G1"/>
      <c r="J1" s="2" t="s">
        <v>1</v>
      </c>
    </row>
    <row r="2" spans="1:11" x14ac:dyDescent="0.35">
      <c r="G2" s="2"/>
      <c r="H2" s="2"/>
    </row>
    <row r="3" spans="1:11" x14ac:dyDescent="0.35">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x14ac:dyDescent="0.35">
      <c r="A4" t="s">
        <v>24</v>
      </c>
      <c r="B4" s="14">
        <f>'Data Sheet'!B57</f>
        <v>804.72</v>
      </c>
      <c r="C4" s="14">
        <f>'Data Sheet'!C57</f>
        <v>1214.74</v>
      </c>
      <c r="D4" s="14">
        <f>'Data Sheet'!D57</f>
        <v>1220.43</v>
      </c>
      <c r="E4" s="14">
        <f>'Data Sheet'!E57</f>
        <v>1225.8599999999999</v>
      </c>
      <c r="F4" s="14">
        <f>'Data Sheet'!F57</f>
        <v>1229.22</v>
      </c>
      <c r="G4" s="14">
        <f>'Data Sheet'!G57</f>
        <v>1230.8800000000001</v>
      </c>
      <c r="H4" s="14">
        <f>'Data Sheet'!H57</f>
        <v>1232.33</v>
      </c>
      <c r="I4" s="14">
        <f>'Data Sheet'!I57</f>
        <v>1242.8</v>
      </c>
      <c r="J4" s="14">
        <f>'Data Sheet'!J57</f>
        <v>1248.47</v>
      </c>
      <c r="K4" s="14">
        <f>'Data Sheet'!K57</f>
        <v>1251.4100000000001</v>
      </c>
    </row>
    <row r="5" spans="1:11" x14ac:dyDescent="0.35">
      <c r="A5" t="s">
        <v>25</v>
      </c>
      <c r="B5" s="14">
        <f>'Data Sheet'!B58</f>
        <v>41874.800000000003</v>
      </c>
      <c r="C5" s="14">
        <f>'Data Sheet'!C58</f>
        <v>45198.19</v>
      </c>
      <c r="D5" s="14">
        <f>'Data Sheet'!D58</f>
        <v>51289.68</v>
      </c>
      <c r="E5" s="14">
        <f>'Data Sheet'!E58</f>
        <v>57915.01</v>
      </c>
      <c r="F5" s="14">
        <f>'Data Sheet'!F58</f>
        <v>64044.04</v>
      </c>
      <c r="G5" s="14">
        <f>'Data Sheet'!G58</f>
        <v>59116.46</v>
      </c>
      <c r="H5" s="14">
        <f>'Data Sheet'!H58</f>
        <v>61223.24</v>
      </c>
      <c r="I5" s="14">
        <f>'Data Sheet'!I58</f>
        <v>67912.460000000006</v>
      </c>
      <c r="J5" s="14">
        <f>'Data Sheet'!J58</f>
        <v>73258.53</v>
      </c>
      <c r="K5" s="14">
        <f>'Data Sheet'!K58</f>
        <v>68778.64</v>
      </c>
    </row>
    <row r="6" spans="1:11" x14ac:dyDescent="0.35">
      <c r="A6" t="s">
        <v>62</v>
      </c>
      <c r="B6" s="14">
        <f>'Data Sheet'!B59</f>
        <v>83.78</v>
      </c>
      <c r="C6" s="14">
        <f>'Data Sheet'!C59</f>
        <v>45.72</v>
      </c>
      <c r="D6" s="14">
        <f>'Data Sheet'!D59</f>
        <v>35.92</v>
      </c>
      <c r="E6" s="14">
        <f>'Data Sheet'!E59</f>
        <v>13.44</v>
      </c>
      <c r="F6" s="14">
        <f>'Data Sheet'!F59</f>
        <v>277.45</v>
      </c>
      <c r="G6" s="14">
        <f>'Data Sheet'!G59</f>
        <v>270.83</v>
      </c>
      <c r="H6" s="14">
        <f>'Data Sheet'!H59</f>
        <v>249.44</v>
      </c>
      <c r="I6" s="14">
        <f>'Data Sheet'!I59</f>
        <v>306.04000000000002</v>
      </c>
      <c r="J6" s="14">
        <f>'Data Sheet'!J59</f>
        <v>303.43</v>
      </c>
      <c r="K6" s="14">
        <f>'Data Sheet'!K59</f>
        <v>284.54000000000002</v>
      </c>
    </row>
    <row r="7" spans="1:11" x14ac:dyDescent="0.35">
      <c r="A7" t="s">
        <v>63</v>
      </c>
      <c r="B7" s="14">
        <f>'Data Sheet'!B60</f>
        <v>8888.0400000000009</v>
      </c>
      <c r="C7" s="14">
        <f>'Data Sheet'!C60</f>
        <v>9439.67</v>
      </c>
      <c r="D7" s="14">
        <f>'Data Sheet'!D60</f>
        <v>11694.85</v>
      </c>
      <c r="E7" s="14">
        <f>'Data Sheet'!E60</f>
        <v>12584.73</v>
      </c>
      <c r="F7" s="14">
        <f>'Data Sheet'!F60</f>
        <v>11760.04</v>
      </c>
      <c r="G7" s="14">
        <f>'Data Sheet'!G60</f>
        <v>13142.59</v>
      </c>
      <c r="H7" s="14">
        <f>'Data Sheet'!H60</f>
        <v>14491.01</v>
      </c>
      <c r="I7" s="14">
        <f>'Data Sheet'!I60</f>
        <v>16369.66</v>
      </c>
      <c r="J7" s="14">
        <f>'Data Sheet'!J60</f>
        <v>16943.54</v>
      </c>
      <c r="K7" s="14">
        <f>'Data Sheet'!K60</f>
        <v>17688.11</v>
      </c>
    </row>
    <row r="8" spans="1:11" s="2" customFormat="1" x14ac:dyDescent="0.35">
      <c r="A8" s="2" t="s">
        <v>26</v>
      </c>
      <c r="B8" s="15">
        <f>'Data Sheet'!B61</f>
        <v>51651.34</v>
      </c>
      <c r="C8" s="15">
        <f>'Data Sheet'!C61</f>
        <v>55898.32</v>
      </c>
      <c r="D8" s="15">
        <f>'Data Sheet'!D61</f>
        <v>64240.88</v>
      </c>
      <c r="E8" s="15">
        <f>'Data Sheet'!E61</f>
        <v>71739.039999999994</v>
      </c>
      <c r="F8" s="15">
        <f>'Data Sheet'!F61</f>
        <v>77310.75</v>
      </c>
      <c r="G8" s="15">
        <f>'Data Sheet'!G61</f>
        <v>73760.759999999995</v>
      </c>
      <c r="H8" s="15">
        <f>'Data Sheet'!H61</f>
        <v>77196.02</v>
      </c>
      <c r="I8" s="15">
        <f>'Data Sheet'!I61</f>
        <v>85830.96</v>
      </c>
      <c r="J8" s="15">
        <f>'Data Sheet'!J61</f>
        <v>91753.97</v>
      </c>
      <c r="K8" s="15">
        <f>'Data Sheet'!K61</f>
        <v>88002.7</v>
      </c>
    </row>
    <row r="9" spans="1:11" s="2" customFormat="1" x14ac:dyDescent="0.35">
      <c r="B9" s="15"/>
      <c r="C9" s="15"/>
      <c r="D9" s="15"/>
      <c r="E9" s="15"/>
      <c r="F9" s="15"/>
      <c r="G9" s="15"/>
      <c r="H9" s="15"/>
      <c r="I9" s="15"/>
      <c r="J9" s="15"/>
      <c r="K9" s="15"/>
    </row>
    <row r="10" spans="1:11" x14ac:dyDescent="0.35">
      <c r="A10" t="s">
        <v>27</v>
      </c>
      <c r="B10" s="14">
        <f>'Data Sheet'!B62</f>
        <v>15106.63</v>
      </c>
      <c r="C10" s="14">
        <f>'Data Sheet'!C62</f>
        <v>15893.48</v>
      </c>
      <c r="D10" s="14">
        <f>'Data Sheet'!D62</f>
        <v>16523.96</v>
      </c>
      <c r="E10" s="14">
        <f>'Data Sheet'!E62</f>
        <v>19374.189999999999</v>
      </c>
      <c r="F10" s="14">
        <f>'Data Sheet'!F62</f>
        <v>21713.34</v>
      </c>
      <c r="G10" s="14">
        <f>'Data Sheet'!G62</f>
        <v>23298.48</v>
      </c>
      <c r="H10" s="14">
        <f>'Data Sheet'!H62</f>
        <v>24231.59</v>
      </c>
      <c r="I10" s="14">
        <f>'Data Sheet'!I62</f>
        <v>25851.27</v>
      </c>
      <c r="J10" s="14">
        <f>'Data Sheet'!J62</f>
        <v>27820.22</v>
      </c>
      <c r="K10" s="14">
        <f>'Data Sheet'!K62</f>
        <v>21954.85</v>
      </c>
    </row>
    <row r="11" spans="1:11" x14ac:dyDescent="0.35">
      <c r="A11" t="s">
        <v>28</v>
      </c>
      <c r="B11" s="14">
        <f>'Data Sheet'!B63</f>
        <v>2559.7199999999998</v>
      </c>
      <c r="C11" s="14">
        <f>'Data Sheet'!C63</f>
        <v>3729.89</v>
      </c>
      <c r="D11" s="14">
        <f>'Data Sheet'!D63</f>
        <v>5508.33</v>
      </c>
      <c r="E11" s="14">
        <f>'Data Sheet'!E63</f>
        <v>4136.42</v>
      </c>
      <c r="F11" s="14">
        <f>'Data Sheet'!F63</f>
        <v>3256.46</v>
      </c>
      <c r="G11" s="14">
        <f>'Data Sheet'!G63</f>
        <v>4011.29</v>
      </c>
      <c r="H11" s="14">
        <f>'Data Sheet'!H63</f>
        <v>3225.54</v>
      </c>
      <c r="I11" s="14">
        <f>'Data Sheet'!I63</f>
        <v>3003.3</v>
      </c>
      <c r="J11" s="14">
        <f>'Data Sheet'!J63</f>
        <v>2860.78</v>
      </c>
      <c r="K11" s="14">
        <f>'Data Sheet'!K63</f>
        <v>1090.9100000000001</v>
      </c>
    </row>
    <row r="12" spans="1:11" x14ac:dyDescent="0.35">
      <c r="A12" t="s">
        <v>29</v>
      </c>
      <c r="B12" s="14">
        <f>'Data Sheet'!B64</f>
        <v>11747.59</v>
      </c>
      <c r="C12" s="14">
        <f>'Data Sheet'!C64</f>
        <v>17581.38</v>
      </c>
      <c r="D12" s="14">
        <f>'Data Sheet'!D64</f>
        <v>22052.86</v>
      </c>
      <c r="E12" s="14">
        <f>'Data Sheet'!E64</f>
        <v>25043.49</v>
      </c>
      <c r="F12" s="14">
        <f>'Data Sheet'!F64</f>
        <v>28663.35</v>
      </c>
      <c r="G12" s="14">
        <f>'Data Sheet'!G64</f>
        <v>24870.87</v>
      </c>
      <c r="H12" s="14">
        <f>'Data Sheet'!H64</f>
        <v>24841.01</v>
      </c>
      <c r="I12" s="14">
        <f>'Data Sheet'!I64</f>
        <v>29415.02</v>
      </c>
      <c r="J12" s="14">
        <f>'Data Sheet'!J64</f>
        <v>31114.02</v>
      </c>
      <c r="K12" s="14">
        <f>'Data Sheet'!K64</f>
        <v>34719.82</v>
      </c>
    </row>
    <row r="13" spans="1:11" x14ac:dyDescent="0.35">
      <c r="A13" t="s">
        <v>64</v>
      </c>
      <c r="B13" s="14">
        <f>'Data Sheet'!B65</f>
        <v>22237.4</v>
      </c>
      <c r="C13" s="14">
        <f>'Data Sheet'!C65</f>
        <v>18693.57</v>
      </c>
      <c r="D13" s="14">
        <f>'Data Sheet'!D65</f>
        <v>20155.73</v>
      </c>
      <c r="E13" s="14">
        <f>'Data Sheet'!E65</f>
        <v>23184.94</v>
      </c>
      <c r="F13" s="14">
        <f>'Data Sheet'!F65</f>
        <v>23677.599999999999</v>
      </c>
      <c r="G13" s="14">
        <f>'Data Sheet'!G65</f>
        <v>21580.12</v>
      </c>
      <c r="H13" s="14">
        <f>'Data Sheet'!H65</f>
        <v>24897.88</v>
      </c>
      <c r="I13" s="14">
        <f>'Data Sheet'!I65</f>
        <v>27561.37</v>
      </c>
      <c r="J13" s="14">
        <f>'Data Sheet'!J65</f>
        <v>29958.95</v>
      </c>
      <c r="K13" s="14">
        <f>'Data Sheet'!K65</f>
        <v>30237.119999999999</v>
      </c>
    </row>
    <row r="14" spans="1:11" s="2" customFormat="1" x14ac:dyDescent="0.35">
      <c r="A14" s="2" t="s">
        <v>26</v>
      </c>
      <c r="B14" s="14">
        <f>'Data Sheet'!B66</f>
        <v>51651.34</v>
      </c>
      <c r="C14" s="14">
        <f>'Data Sheet'!C66</f>
        <v>55898.32</v>
      </c>
      <c r="D14" s="14">
        <f>'Data Sheet'!D66</f>
        <v>64240.88</v>
      </c>
      <c r="E14" s="14">
        <f>'Data Sheet'!E66</f>
        <v>71739.039999999994</v>
      </c>
      <c r="F14" s="14">
        <f>'Data Sheet'!F66</f>
        <v>77310.75</v>
      </c>
      <c r="G14" s="14">
        <f>'Data Sheet'!G66</f>
        <v>73760.759999999995</v>
      </c>
      <c r="H14" s="14">
        <f>'Data Sheet'!H66</f>
        <v>77196.02</v>
      </c>
      <c r="I14" s="14">
        <f>'Data Sheet'!I66</f>
        <v>85830.96</v>
      </c>
      <c r="J14" s="14">
        <f>'Data Sheet'!J66</f>
        <v>91753.97</v>
      </c>
      <c r="K14" s="14">
        <f>'Data Sheet'!K66</f>
        <v>88002.7</v>
      </c>
    </row>
    <row r="15" spans="1:11" x14ac:dyDescent="0.35">
      <c r="B15" s="4"/>
      <c r="C15" s="4"/>
      <c r="D15" s="4"/>
      <c r="E15" s="4"/>
      <c r="F15" s="4"/>
      <c r="G15" s="4"/>
      <c r="H15" s="4"/>
      <c r="I15" s="4"/>
      <c r="J15" s="4"/>
      <c r="K15" s="4"/>
    </row>
    <row r="16" spans="1:11" x14ac:dyDescent="0.35">
      <c r="A16" t="s">
        <v>30</v>
      </c>
      <c r="B16" s="4">
        <f>B13-B7</f>
        <v>13349.36</v>
      </c>
      <c r="C16" s="4">
        <f t="shared" ref="C16:K16" si="0">C13-C7</f>
        <v>9253.9</v>
      </c>
      <c r="D16" s="4">
        <f t="shared" si="0"/>
        <v>8460.8799999999992</v>
      </c>
      <c r="E16" s="4">
        <f t="shared" si="0"/>
        <v>10600.21</v>
      </c>
      <c r="F16" s="4">
        <f t="shared" si="0"/>
        <v>11917.559999999998</v>
      </c>
      <c r="G16" s="4">
        <f t="shared" si="0"/>
        <v>8437.5299999999988</v>
      </c>
      <c r="H16" s="4">
        <f t="shared" si="0"/>
        <v>10406.870000000001</v>
      </c>
      <c r="I16" s="4">
        <f t="shared" si="0"/>
        <v>11191.71</v>
      </c>
      <c r="J16" s="4">
        <f t="shared" si="0"/>
        <v>13015.41</v>
      </c>
      <c r="K16" s="4">
        <f t="shared" si="0"/>
        <v>12549.009999999998</v>
      </c>
    </row>
    <row r="17" spans="1:11" x14ac:dyDescent="0.35">
      <c r="A17" t="s">
        <v>44</v>
      </c>
      <c r="B17" s="4">
        <f>'Data Sheet'!B67</f>
        <v>1917.18</v>
      </c>
      <c r="C17" s="4">
        <f>'Data Sheet'!C67</f>
        <v>2474.29</v>
      </c>
      <c r="D17" s="4">
        <f>'Data Sheet'!D67</f>
        <v>2682.29</v>
      </c>
      <c r="E17" s="4">
        <f>'Data Sheet'!E67</f>
        <v>4035.28</v>
      </c>
      <c r="F17" s="4">
        <f>'Data Sheet'!F67</f>
        <v>2562.48</v>
      </c>
      <c r="G17" s="4">
        <f>'Data Sheet'!G67</f>
        <v>2501.6999999999998</v>
      </c>
      <c r="H17" s="4">
        <f>'Data Sheet'!H67</f>
        <v>2461.9</v>
      </c>
      <c r="I17" s="4">
        <f>'Data Sheet'!I67</f>
        <v>2956.17</v>
      </c>
      <c r="J17" s="4">
        <f>'Data Sheet'!J67</f>
        <v>4025.82</v>
      </c>
      <c r="K17" s="4">
        <f>'Data Sheet'!K67</f>
        <v>4719.67</v>
      </c>
    </row>
    <row r="18" spans="1:11" x14ac:dyDescent="0.35">
      <c r="A18" t="s">
        <v>45</v>
      </c>
      <c r="B18" s="4">
        <f>'Data Sheet'!B68</f>
        <v>9062.1</v>
      </c>
      <c r="C18" s="4">
        <f>'Data Sheet'!C68</f>
        <v>8116.1</v>
      </c>
      <c r="D18" s="4">
        <f>'Data Sheet'!D68</f>
        <v>7495.09</v>
      </c>
      <c r="E18" s="4">
        <f>'Data Sheet'!E68</f>
        <v>7859.56</v>
      </c>
      <c r="F18" s="4">
        <f>'Data Sheet'!F68</f>
        <v>8879.33</v>
      </c>
      <c r="G18" s="4">
        <f>'Data Sheet'!G68</f>
        <v>10397.16</v>
      </c>
      <c r="H18" s="4">
        <f>'Data Sheet'!H68</f>
        <v>10864.15</v>
      </c>
      <c r="I18" s="4">
        <f>'Data Sheet'!I68</f>
        <v>11771.16</v>
      </c>
      <c r="J18" s="4">
        <f>'Data Sheet'!J68</f>
        <v>14152.88</v>
      </c>
      <c r="K18" s="4">
        <f>'Data Sheet'!K68</f>
        <v>15637.56</v>
      </c>
    </row>
    <row r="20" spans="1:11" x14ac:dyDescent="0.35">
      <c r="A20" t="s">
        <v>46</v>
      </c>
      <c r="B20" s="4">
        <f>IF('Profit-Loss'!B4&gt;0,'Balance Sheet'!B17/('Profit-Loss'!B4/365),0)</f>
        <v>17.854891674597688</v>
      </c>
      <c r="C20" s="4">
        <f>IF('Profit-Loss'!C4&gt;0,'Balance Sheet'!C17/('Profit-Loss'!C4/365),0)</f>
        <v>21.116823249375695</v>
      </c>
      <c r="D20" s="4">
        <f>IF('Profit-Loss'!D4&gt;0,'Balance Sheet'!D17/('Profit-Loss'!D4/365),0)</f>
        <v>22.533020368275956</v>
      </c>
      <c r="E20" s="4">
        <f>IF('Profit-Loss'!E4&gt;0,'Balance Sheet'!E17/('Profit-Loss'!E4/365),0)</f>
        <v>30.469383474163411</v>
      </c>
      <c r="F20" s="4">
        <f>IF('Profit-Loss'!F4&gt;0,'Balance Sheet'!F17/('Profit-Loss'!F4/365),0)</f>
        <v>18.938018980434403</v>
      </c>
      <c r="G20" s="4">
        <f>IF('Profit-Loss'!G4&gt;0,'Balance Sheet'!G17/('Profit-Loss'!G4/365),0)</f>
        <v>18.537713584442557</v>
      </c>
      <c r="H20" s="4">
        <f>IF('Profit-Loss'!H4&gt;0,'Balance Sheet'!H17/('Profit-Loss'!H4/365),0)</f>
        <v>14.817385044061677</v>
      </c>
      <c r="I20" s="4">
        <f>IF('Profit-Loss'!I4&gt;0,'Balance Sheet'!I17/('Profit-Loss'!I4/365),0)</f>
        <v>15.214563002342249</v>
      </c>
      <c r="J20" s="4">
        <f>IF('Profit-Loss'!J4&gt;0,'Balance Sheet'!J17/('Profit-Loss'!J4/365),0)</f>
        <v>21.630830799179297</v>
      </c>
      <c r="K20" s="4">
        <f>IF('Profit-Loss'!K4&gt;0,'Balance Sheet'!K17/('Profit-Loss'!K4/365),0)</f>
        <v>22.870461532906003</v>
      </c>
    </row>
    <row r="21" spans="1:11" x14ac:dyDescent="0.35">
      <c r="A21" t="s">
        <v>47</v>
      </c>
      <c r="B21" s="4">
        <f>IF('Balance Sheet'!B18&gt;0,'Profit-Loss'!B4/'Balance Sheet'!B18,0)</f>
        <v>4.3248364065724276</v>
      </c>
      <c r="C21" s="4">
        <f>IF('Balance Sheet'!C18&gt;0,'Profit-Loss'!C4/'Balance Sheet'!C18,0)</f>
        <v>5.2694767191138601</v>
      </c>
      <c r="D21" s="4">
        <f>IF('Balance Sheet'!D18&gt;0,'Profit-Loss'!D4/'Balance Sheet'!D18,0)</f>
        <v>5.7969870942176813</v>
      </c>
      <c r="E21" s="4">
        <f>IF('Balance Sheet'!E18&gt;0,'Profit-Loss'!E4/'Balance Sheet'!E18,0)</f>
        <v>6.1504180895622653</v>
      </c>
      <c r="F21" s="4">
        <f>IF('Balance Sheet'!F18&gt;0,'Profit-Loss'!F4/'Balance Sheet'!F18,0)</f>
        <v>5.5620975906965953</v>
      </c>
      <c r="G21" s="4">
        <f>IF('Balance Sheet'!G18&gt;0,'Profit-Loss'!G4/'Balance Sheet'!G18,0)</f>
        <v>4.7375869949101483</v>
      </c>
      <c r="H21" s="4">
        <f>IF('Balance Sheet'!H18&gt;0,'Profit-Loss'!H4/'Balance Sheet'!H18,0)</f>
        <v>5.5820786715941884</v>
      </c>
      <c r="I21" s="4">
        <f>IF('Balance Sheet'!I18&gt;0,'Profit-Loss'!I4/'Balance Sheet'!I18,0)</f>
        <v>6.0248123379514</v>
      </c>
      <c r="J21" s="4">
        <f>IF('Balance Sheet'!J18&gt;0,'Profit-Loss'!J4/'Balance Sheet'!J18,0)</f>
        <v>4.7998668822176125</v>
      </c>
      <c r="K21" s="4">
        <f>IF('Balance Sheet'!K18&gt;0,'Profit-Loss'!K4/'Balance Sheet'!K18,0)</f>
        <v>4.8168218059594974</v>
      </c>
    </row>
    <row r="23" spans="1:11" s="2" customFormat="1" x14ac:dyDescent="0.35">
      <c r="A23" s="2" t="s">
        <v>50</v>
      </c>
      <c r="B23" s="10">
        <f>IF(SUM('Balance Sheet'!B4:B5)&gt;0,'Profit-Loss'!B12/SUM('Balance Sheet'!B4:B5),"")</f>
        <v>0.21894458981731754</v>
      </c>
      <c r="C23" s="10">
        <f>IF(SUM('Balance Sheet'!C4:C5)&gt;0,'Profit-Loss'!C12/SUM('Balance Sheet'!C4:C5),"")</f>
        <v>0.2216933944915781</v>
      </c>
      <c r="D23" s="10">
        <f>IF(SUM('Balance Sheet'!D4:D5)&gt;0,'Profit-Loss'!D12/SUM('Balance Sheet'!D4:D5),"")</f>
        <v>0.21464818870118538</v>
      </c>
      <c r="E23" s="10">
        <f>IF(SUM('Balance Sheet'!E4:E5)&gt;0,'Profit-Loss'!E12/SUM('Balance Sheet'!E4:E5),"")</f>
        <v>0.21292094620860327</v>
      </c>
      <c r="F23" s="10">
        <f>IF(SUM('Balance Sheet'!F4:F5)&gt;0,'Profit-Loss'!F12/SUM('Balance Sheet'!F4:F5),"")</f>
        <v>0.23449464604648212</v>
      </c>
      <c r="G23" s="10">
        <f>IF(SUM('Balance Sheet'!G4:G5)&gt;0,'Profit-Loss'!G12/SUM('Balance Sheet'!G4:G5),"")</f>
        <v>0.21809063995198466</v>
      </c>
      <c r="H23" s="10">
        <f>IF(SUM('Balance Sheet'!H4:H5)&gt;0,'Profit-Loss'!H12/SUM('Balance Sheet'!H4:H5),"")</f>
        <v>0.24405605456807136</v>
      </c>
      <c r="I23" s="10">
        <f>IF(SUM('Balance Sheet'!I4:I5)&gt;0,'Profit-Loss'!I12/SUM('Balance Sheet'!I4:I5),"")</f>
        <v>0.2775155497933201</v>
      </c>
      <c r="J23" s="10">
        <f>IF(SUM('Balance Sheet'!J4:J5)&gt;0,'Profit-Loss'!J12/SUM('Balance Sheet'!J4:J5),"")</f>
        <v>0.27458869636409999</v>
      </c>
      <c r="K23" s="10">
        <f>IF(SUM('Balance Sheet'!K4:K5)&gt;0,'Profit-Loss'!K12/SUM('Balance Sheet'!K4:K5),"")</f>
        <v>0.49616743098141436</v>
      </c>
    </row>
    <row r="24" spans="1:11" s="2" customFormat="1" x14ac:dyDescent="0.35">
      <c r="A24" s="2" t="s">
        <v>51</v>
      </c>
      <c r="B24" s="10"/>
      <c r="C24" s="10">
        <f>IF((B4+B5+B6+C4+C5+C6)&gt;0,('Profit-Loss'!C10+'Profit-Loss'!C9)*2/(B4+B5+B6+C4+C5+C6),"")</f>
        <v>0.36034518411668875</v>
      </c>
      <c r="D24" s="10">
        <f>IF((C4+C5+C6+D4+D5+D6)&gt;0,('Profit-Loss'!D10+'Profit-Loss'!D9)*2/(C4+C5+C6+D4+D5+D6),"")</f>
        <v>0.35400589143866729</v>
      </c>
      <c r="E24" s="10">
        <f>IF((D4+D5+D6+E4+E5+E6)&gt;0,('Profit-Loss'!E10+'Profit-Loss'!E9)*2/(D4+D5+D6+E4+E5+E6),"")</f>
        <v>0.34415687544012852</v>
      </c>
      <c r="F24" s="10">
        <f>IF((E4+E5+E6+F4+F5+F6)&gt;0,('Profit-Loss'!F10+'Profit-Loss'!F9)*2/(E4+E5+E6+F4+F5+F6),"")</f>
        <v>0.32261652337652486</v>
      </c>
      <c r="G24" s="10">
        <f>IF((F4+F5+F6+G4+G5+G6)&gt;0,('Profit-Loss'!G10+'Profit-Loss'!G9)*2/(F4+F5+F6+G4+G5+G6),"")</f>
        <v>0.28527066262298589</v>
      </c>
      <c r="H24" s="10">
        <f>IF((G4+G5+G6+H4+H5+H6)&gt;0,('Profit-Loss'!H10+'Profit-Loss'!H9)*2/(G4+G5+G6+H4+H5+H6),"")</f>
        <v>0.33733252742915004</v>
      </c>
      <c r="I24" s="10">
        <f>IF((H4+H5+H6+I4+I5+I6)&gt;0,('Profit-Loss'!I10+'Profit-Loss'!I9)*2/(H4+H5+H6+I4+I5+I6),"")</f>
        <v>0.39333609298769096</v>
      </c>
      <c r="J24" s="10">
        <f>IF((I4+I5+I6+J4+J5+J6)&gt;0,('Profit-Loss'!J10+'Profit-Loss'!J9)*2/(I4+I5+I6+J4+J5+J6),"")</f>
        <v>0.3742927321936183</v>
      </c>
      <c r="K24" s="10">
        <f>IF((J4+J5+J6+K4+K5+K6)&gt;0,('Profit-Loss'!K10+'Profit-Loss'!K9)*2/(J4+J5+J6+K4+K5+K6),"")</f>
        <v>0.57864605289976878</v>
      </c>
    </row>
    <row r="26" spans="1:11" x14ac:dyDescent="0.35">
      <c r="A26" t="s">
        <v>119</v>
      </c>
      <c r="E26" s="46">
        <f>SUM(E4:E5)</f>
        <v>59140.87</v>
      </c>
      <c r="F26" s="46">
        <f t="shared" ref="F26:K26" si="1">SUM(F4:F5)</f>
        <v>65273.26</v>
      </c>
      <c r="G26" s="46">
        <f t="shared" si="1"/>
        <v>60347.34</v>
      </c>
      <c r="H26" s="46">
        <f t="shared" si="1"/>
        <v>62455.57</v>
      </c>
      <c r="I26" s="46">
        <f t="shared" si="1"/>
        <v>69155.260000000009</v>
      </c>
      <c r="J26" s="46">
        <f t="shared" si="1"/>
        <v>74507</v>
      </c>
      <c r="K26" s="46">
        <f t="shared" si="1"/>
        <v>70030.05</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81640625" defaultRowHeight="14.5" x14ac:dyDescent="0.35"/>
  <cols>
    <col min="1" max="1" width="26.81640625" bestFit="1" customWidth="1"/>
    <col min="2" max="6" width="13.453125" customWidth="1"/>
    <col min="7" max="11" width="13.453125" bestFit="1" customWidth="1"/>
  </cols>
  <sheetData>
    <row r="1" spans="1:11" s="2" customFormat="1" x14ac:dyDescent="0.35">
      <c r="A1" s="2" t="str">
        <f>'Balance Sheet'!A1</f>
        <v>ITC LTD</v>
      </c>
      <c r="E1" t="str">
        <f>UPDATE</f>
        <v/>
      </c>
      <c r="F1"/>
      <c r="J1" s="2" t="s">
        <v>1</v>
      </c>
    </row>
    <row r="3" spans="1:11" s="2" customFormat="1" x14ac:dyDescent="0.35">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x14ac:dyDescent="0.35">
      <c r="A4" s="2" t="s">
        <v>32</v>
      </c>
      <c r="B4" s="1">
        <f>'Data Sheet'!B82</f>
        <v>9799.0400000000009</v>
      </c>
      <c r="C4" s="1">
        <f>'Data Sheet'!C82</f>
        <v>10627.31</v>
      </c>
      <c r="D4" s="1">
        <f>'Data Sheet'!D82</f>
        <v>13169.4</v>
      </c>
      <c r="E4" s="1">
        <f>'Data Sheet'!E82</f>
        <v>12583.41</v>
      </c>
      <c r="F4" s="1">
        <f>'Data Sheet'!F82</f>
        <v>14689.66</v>
      </c>
      <c r="G4" s="1">
        <f>'Data Sheet'!G82</f>
        <v>12526.97</v>
      </c>
      <c r="H4" s="1">
        <f>'Data Sheet'!H82</f>
        <v>15775.51</v>
      </c>
      <c r="I4" s="1">
        <f>'Data Sheet'!I82</f>
        <v>18877.55</v>
      </c>
      <c r="J4" s="1">
        <f>'Data Sheet'!J82</f>
        <v>17178.86</v>
      </c>
      <c r="K4" s="1">
        <f>'Data Sheet'!K82</f>
        <v>17627.04</v>
      </c>
    </row>
    <row r="5" spans="1:11" x14ac:dyDescent="0.35">
      <c r="A5" t="s">
        <v>33</v>
      </c>
      <c r="B5" s="6">
        <f>'Data Sheet'!B83</f>
        <v>-3920.73</v>
      </c>
      <c r="C5" s="6">
        <f>'Data Sheet'!C83</f>
        <v>-3250.93</v>
      </c>
      <c r="D5" s="6">
        <f>'Data Sheet'!D83</f>
        <v>-7113.89</v>
      </c>
      <c r="E5" s="6">
        <f>'Data Sheet'!E83</f>
        <v>-5545.68</v>
      </c>
      <c r="F5" s="6">
        <f>'Data Sheet'!F83</f>
        <v>-6174.02</v>
      </c>
      <c r="G5" s="6">
        <f>'Data Sheet'!G83</f>
        <v>5739.98</v>
      </c>
      <c r="H5" s="6">
        <f>'Data Sheet'!H83</f>
        <v>-2238.4899999999998</v>
      </c>
      <c r="I5" s="6">
        <f>'Data Sheet'!I83</f>
        <v>-5732.29</v>
      </c>
      <c r="J5" s="6">
        <f>'Data Sheet'!J83</f>
        <v>1562.77</v>
      </c>
      <c r="K5" s="6">
        <f>'Data Sheet'!K83</f>
        <v>-563.84</v>
      </c>
    </row>
    <row r="6" spans="1:11" x14ac:dyDescent="0.35">
      <c r="A6" t="s">
        <v>34</v>
      </c>
      <c r="B6" s="6">
        <f>'Data Sheet'!B84</f>
        <v>-5612.52</v>
      </c>
      <c r="C6" s="6">
        <f>'Data Sheet'!C84</f>
        <v>-7301.03</v>
      </c>
      <c r="D6" s="6">
        <f>'Data Sheet'!D84</f>
        <v>-6221.13</v>
      </c>
      <c r="E6" s="6">
        <f>'Data Sheet'!E84</f>
        <v>-6868.64</v>
      </c>
      <c r="F6" s="6">
        <f>'Data Sheet'!F84</f>
        <v>-8181.48</v>
      </c>
      <c r="G6" s="6">
        <f>'Data Sheet'!G84</f>
        <v>-18633.830000000002</v>
      </c>
      <c r="H6" s="6">
        <f>'Data Sheet'!H84</f>
        <v>-13580.5</v>
      </c>
      <c r="I6" s="6">
        <f>'Data Sheet'!I84</f>
        <v>-13006.03</v>
      </c>
      <c r="J6" s="6">
        <f>'Data Sheet'!J84</f>
        <v>-18550.96</v>
      </c>
      <c r="K6" s="6">
        <f>'Data Sheet'!K84</f>
        <v>-17037.400000000001</v>
      </c>
    </row>
    <row r="7" spans="1:11" s="2" customFormat="1" x14ac:dyDescent="0.35">
      <c r="A7" s="2" t="s">
        <v>35</v>
      </c>
      <c r="B7" s="1">
        <f>'Data Sheet'!B85</f>
        <v>265.79000000000002</v>
      </c>
      <c r="C7" s="1">
        <f>'Data Sheet'!C85</f>
        <v>75.349999999999994</v>
      </c>
      <c r="D7" s="1">
        <f>'Data Sheet'!D85</f>
        <v>-165.62</v>
      </c>
      <c r="E7" s="1">
        <f>'Data Sheet'!E85</f>
        <v>169.09</v>
      </c>
      <c r="F7" s="1">
        <f>'Data Sheet'!F85</f>
        <v>334.16</v>
      </c>
      <c r="G7" s="1">
        <f>'Data Sheet'!G85</f>
        <v>-366.88</v>
      </c>
      <c r="H7" s="1">
        <f>'Data Sheet'!H85</f>
        <v>-43.48</v>
      </c>
      <c r="I7" s="1">
        <f>'Data Sheet'!I85</f>
        <v>139.22999999999999</v>
      </c>
      <c r="J7" s="1">
        <f>'Data Sheet'!J85</f>
        <v>190.67</v>
      </c>
      <c r="K7" s="1">
        <f>'Data Sheet'!K85</f>
        <v>25.8</v>
      </c>
    </row>
    <row r="8" spans="1:11" x14ac:dyDescent="0.35">
      <c r="B8" s="6"/>
      <c r="C8" s="6"/>
      <c r="D8" s="6"/>
      <c r="E8" s="6"/>
      <c r="F8" s="6"/>
      <c r="G8" s="6"/>
      <c r="H8" s="6"/>
      <c r="I8" s="6"/>
      <c r="J8" s="6"/>
      <c r="K8" s="6"/>
    </row>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Teaser</vt:lpstr>
      <vt:lpstr>WACC</vt:lpstr>
      <vt:lpstr>ADJ DATA </vt:lpstr>
      <vt:lpstr>Data Sheet</vt:lpstr>
      <vt:lpstr>Profit-Loss</vt:lpstr>
      <vt:lpstr>Quarters</vt:lpstr>
      <vt:lpstr>Balance Sheet</vt:lpstr>
      <vt:lpstr>Cash Flow</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Mohammed Khaja moinullah</cp:lastModifiedBy>
  <cp:lastPrinted>2012-12-06T18:14:13Z</cp:lastPrinted>
  <dcterms:created xsi:type="dcterms:W3CDTF">2012-08-17T09:55:37Z</dcterms:created>
  <dcterms:modified xsi:type="dcterms:W3CDTF">2026-03-12T14:00:19Z</dcterms:modified>
</cp:coreProperties>
</file>